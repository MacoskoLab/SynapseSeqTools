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broad_macosko/mkim/SynapseSeq/240215_Goofy/bulk/dialout/"/>
    </mc:Choice>
  </mc:AlternateContent>
  <xr:revisionPtr revIDLastSave="0" documentId="13_ncr:1_{AA1E2F88-3067-AD47-8768-55984ACD9FCB}" xr6:coauthVersionLast="47" xr6:coauthVersionMax="47" xr10:uidLastSave="{00000000-0000-0000-0000-000000000000}"/>
  <bookViews>
    <workbookView xWindow="0" yWindow="500" windowWidth="29200" windowHeight="13980" activeTab="1" xr2:uid="{CCAFDB2A-982B-A94C-BCCB-B80A744CD567}"/>
  </bookViews>
  <sheets>
    <sheet name="240217_batch_synapseseq_bulkseq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J13" i="1"/>
  <c r="I13" i="1"/>
  <c r="K12" i="1"/>
  <c r="J12" i="1"/>
  <c r="I12" i="1"/>
  <c r="K11" i="1"/>
  <c r="J11" i="1"/>
  <c r="I11" i="1"/>
  <c r="K10" i="1"/>
  <c r="J10" i="1"/>
  <c r="I10" i="1"/>
  <c r="K9" i="1"/>
  <c r="J9" i="1"/>
  <c r="I9" i="1"/>
  <c r="K8" i="1"/>
  <c r="J8" i="1"/>
  <c r="I8" i="1"/>
  <c r="K7" i="1"/>
  <c r="J7" i="1"/>
  <c r="I7" i="1"/>
  <c r="K6" i="1"/>
  <c r="J6" i="1"/>
  <c r="I6" i="1"/>
  <c r="K5" i="1"/>
  <c r="J5" i="1"/>
  <c r="I5" i="1"/>
  <c r="K4" i="1"/>
  <c r="J4" i="1"/>
  <c r="I4" i="1"/>
  <c r="K3" i="1"/>
  <c r="J3" i="1"/>
  <c r="I3" i="1"/>
  <c r="K2" i="1"/>
  <c r="J2" i="1"/>
  <c r="I2" i="1"/>
  <c r="K25" i="1"/>
  <c r="J25" i="1"/>
  <c r="I25" i="1"/>
  <c r="K24" i="1"/>
  <c r="J24" i="1"/>
  <c r="I24" i="1"/>
  <c r="K23" i="1"/>
  <c r="J23" i="1"/>
  <c r="I23" i="1"/>
  <c r="K22" i="1"/>
  <c r="J22" i="1"/>
  <c r="I22" i="1"/>
  <c r="K21" i="1"/>
  <c r="J21" i="1"/>
  <c r="I21" i="1"/>
  <c r="K20" i="1"/>
  <c r="J20" i="1"/>
  <c r="I20" i="1"/>
  <c r="K19" i="1"/>
  <c r="J19" i="1"/>
  <c r="I19" i="1"/>
  <c r="K18" i="1"/>
  <c r="J18" i="1"/>
  <c r="I18" i="1"/>
  <c r="K17" i="1"/>
  <c r="J17" i="1"/>
  <c r="I17" i="1"/>
  <c r="K16" i="1"/>
  <c r="J16" i="1"/>
  <c r="I16" i="1"/>
  <c r="K15" i="1"/>
  <c r="J15" i="1"/>
  <c r="I15" i="1"/>
  <c r="K14" i="1"/>
  <c r="J14" i="1"/>
  <c r="I14" i="1"/>
</calcChain>
</file>

<file path=xl/sharedStrings.xml><?xml version="1.0" encoding="utf-8"?>
<sst xmlns="http://schemas.openxmlformats.org/spreadsheetml/2006/main" count="162" uniqueCount="67">
  <si>
    <t>output_dir</t>
  </si>
  <si>
    <t>read1_path</t>
  </si>
  <si>
    <t>read2_path</t>
  </si>
  <si>
    <t>tag_mm</t>
  </si>
  <si>
    <t>constant_mm</t>
  </si>
  <si>
    <t>output_base</t>
  </si>
  <si>
    <t>sample_name</t>
  </si>
  <si>
    <t>fastq_base</t>
  </si>
  <si>
    <t>index</t>
  </si>
  <si>
    <t>sample</t>
  </si>
  <si>
    <t>lane</t>
  </si>
  <si>
    <t>D702</t>
  </si>
  <si>
    <t>D703</t>
  </si>
  <si>
    <t>D704</t>
  </si>
  <si>
    <t>D705</t>
  </si>
  <si>
    <t>D706</t>
  </si>
  <si>
    <t>D707</t>
  </si>
  <si>
    <t>D708</t>
  </si>
  <si>
    <t>D709</t>
  </si>
  <si>
    <t>ssh mkim@login</t>
  </si>
  <si>
    <t>tmux</t>
  </si>
  <si>
    <t>/broad/software/scripts/ish -P macosko_lab -l h_vmem=75g -l h_rt=30:0:0</t>
  </si>
  <si>
    <t>use Anaconda3</t>
  </si>
  <si>
    <t>conda activate synapse-slideseq</t>
  </si>
  <si>
    <t>C1</t>
  </si>
  <si>
    <t>C2</t>
  </si>
  <si>
    <t>C3</t>
  </si>
  <si>
    <t>C4</t>
  </si>
  <si>
    <t>S2</t>
  </si>
  <si>
    <t>S3</t>
  </si>
  <si>
    <t>S4</t>
  </si>
  <si>
    <t>S5</t>
  </si>
  <si>
    <t>S6</t>
  </si>
  <si>
    <t>S7</t>
  </si>
  <si>
    <t>S8</t>
  </si>
  <si>
    <t>S9</t>
  </si>
  <si>
    <t>L005</t>
  </si>
  <si>
    <t>/broad/macosko/mkim/SynapseSeq/240215_Goofy/fastqs/240301_A22HV5GLT3_NovaSeqX</t>
  </si>
  <si>
    <t>/broad/macosko/mkim/SynapseSeq/240215_Goofy/bulk/dialout2</t>
  </si>
  <si>
    <t>D1</t>
  </si>
  <si>
    <t>D2</t>
  </si>
  <si>
    <t>D3</t>
  </si>
  <si>
    <t>D4</t>
  </si>
  <si>
    <t>D5</t>
  </si>
  <si>
    <t>D6</t>
  </si>
  <si>
    <t>D7</t>
  </si>
  <si>
    <t>D8</t>
  </si>
  <si>
    <t>L008</t>
  </si>
  <si>
    <t>L007</t>
  </si>
  <si>
    <t>L001</t>
  </si>
  <si>
    <t>A1</t>
  </si>
  <si>
    <t>L003</t>
  </si>
  <si>
    <t>A2</t>
  </si>
  <si>
    <t>A3</t>
  </si>
  <si>
    <t>L006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</si>
  <si>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</si>
  <si>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</si>
  <si>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</si>
  <si>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</si>
  <si>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</si>
  <si>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</si>
  <si>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</si>
  <si>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</si>
  <si>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</si>
  <si>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L004</t>
  </si>
  <si>
    <t>python /broad/macosko/mkim/Scripts/231221_batchRun_SynapseSeq_Bulk.py /broad/macosko/mkim/SynapseSeq/240215_Goofy/bulk/dialout/240307_batch_synapseseq_bulkseq_batch05.csv</t>
  </si>
  <si>
    <t>python /broad/macosko/mkim/Scripts/231221_batchRun_SynapseSeq_Bulk_Rd2.py /broad/macosko/mkim/SynapseSeq/240215_Goofy/bulk/dialout/240307_batch_synapseseq_bulkseq_batch05.csv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</si>
</sst>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Menlo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5" borderId="1" xfId="0" applyFont="1" applyFill="1" applyBorder="1"/>
    <xf numFmtId="0" fontId="1" fillId="7" borderId="1" xfId="0" applyFont="1" applyFill="1" applyBorder="1"/>
    <xf numFmtId="0" fontId="1" fillId="9" borderId="1" xfId="0" applyFont="1" applyFill="1" applyBorder="1"/>
    <xf numFmtId="0" fontId="1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2" borderId="1" xfId="0" applyFill="1" applyBorder="1"/>
    <xf numFmtId="49" fontId="1" fillId="7" borderId="1" xfId="0" applyNumberFormat="1" applyFont="1" applyFill="1" applyBorder="1"/>
    <xf numFmtId="49" fontId="0" fillId="6" borderId="1" xfId="0" applyNumberForma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9DBFF"/>
      <color rgb="FFAA6FDC"/>
      <color rgb="FFC783FF"/>
      <color rgb="FFE0B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FC68D-2BF1-2744-9CD5-BFDB287AD83A}">
  <dimension ref="A1:K25"/>
  <sheetViews>
    <sheetView workbookViewId="0">
      <selection activeCell="A26" sqref="A26"/>
    </sheetView>
  </sheetViews>
  <sheetFormatPr baseColWidth="10" defaultRowHeight="16" x14ac:dyDescent="0.2"/>
  <cols>
    <col min="1" max="1" width="76.6640625" style="6" customWidth="1"/>
    <col min="2" max="2" width="21.6640625" style="6" customWidth="1"/>
    <col min="3" max="3" width="73.6640625" style="7" customWidth="1"/>
    <col min="4" max="4" width="12.83203125" style="7" customWidth="1"/>
    <col min="5" max="5" width="13.1640625" style="7" customWidth="1"/>
    <col min="6" max="6" width="13.5" style="11" customWidth="1"/>
    <col min="7" max="7" width="14.5" style="8" customWidth="1"/>
    <col min="8" max="8" width="15.1640625" style="8" customWidth="1"/>
    <col min="9" max="9" width="85.83203125" style="9" customWidth="1"/>
    <col min="10" max="10" width="109.83203125" style="9" customWidth="1"/>
    <col min="11" max="11" width="105.1640625" style="9" customWidth="1"/>
    <col min="12" max="16384" width="10.83203125" style="5"/>
  </cols>
  <sheetData>
    <row r="1" spans="1:11" x14ac:dyDescent="0.2">
      <c r="A1" s="1" t="s">
        <v>5</v>
      </c>
      <c r="B1" s="1" t="s">
        <v>6</v>
      </c>
      <c r="C1" s="2" t="s">
        <v>7</v>
      </c>
      <c r="D1" s="2" t="s">
        <v>8</v>
      </c>
      <c r="E1" s="2" t="s">
        <v>9</v>
      </c>
      <c r="F1" s="10" t="s">
        <v>10</v>
      </c>
      <c r="G1" s="3" t="s">
        <v>3</v>
      </c>
      <c r="H1" s="3" t="s">
        <v>4</v>
      </c>
      <c r="I1" s="4" t="s">
        <v>0</v>
      </c>
      <c r="J1" s="4" t="s">
        <v>1</v>
      </c>
      <c r="K1" s="4" t="s">
        <v>2</v>
      </c>
    </row>
    <row r="2" spans="1:11" x14ac:dyDescent="0.2">
      <c r="A2" s="6" t="s">
        <v>38</v>
      </c>
      <c r="B2" s="6" t="s">
        <v>50</v>
      </c>
      <c r="C2" s="7" t="s">
        <v>37</v>
      </c>
      <c r="D2" s="7" t="s">
        <v>11</v>
      </c>
      <c r="E2" t="s">
        <v>28</v>
      </c>
      <c r="F2" t="s">
        <v>49</v>
      </c>
      <c r="G2" s="8">
        <v>5</v>
      </c>
      <c r="H2" s="8">
        <v>5</v>
      </c>
      <c r="I2" s="9" t="str">
        <f>_xlfn.CONCAT(A2,"/",B2)</f>
        <v>/broad/macosko/mkim/SynapseSeq/240215_Goofy/bulk/dialout2/A1</v>
      </c>
      <c r="J2" s="9" t="str">
        <f t="shared" ref="J2:J13" si="0">_xlfn.CONCAT(C2,"/",D2,"_",E2,"_",F2,"_R1_001.fastq.gz")</f>
        <v>/broad/macosko/mkim/SynapseSeq/240215_Goofy/fastqs/240301_A22HV5GLT3_NovaSeqX/D702_S2_L001_R1_001.fastq.gz</v>
      </c>
      <c r="K2" s="9" t="str">
        <f t="shared" ref="K2:K13" si="1">_xlfn.CONCAT(C2,"/",D2,"_",E2,"_",F2,"_R2_001.fastq.gz")</f>
        <v>/broad/macosko/mkim/SynapseSeq/240215_Goofy/fastqs/240301_A22HV5GLT3_NovaSeqX/D702_S2_L001_R2_001.fastq.gz</v>
      </c>
    </row>
    <row r="3" spans="1:11" x14ac:dyDescent="0.2">
      <c r="A3" s="6" t="s">
        <v>38</v>
      </c>
      <c r="B3" s="6" t="s">
        <v>52</v>
      </c>
      <c r="C3" s="7" t="s">
        <v>37</v>
      </c>
      <c r="D3" s="7" t="s">
        <v>12</v>
      </c>
      <c r="E3" t="s">
        <v>29</v>
      </c>
      <c r="F3" t="s">
        <v>49</v>
      </c>
      <c r="G3" s="8">
        <v>5</v>
      </c>
      <c r="H3" s="8">
        <v>5</v>
      </c>
      <c r="I3" s="9" t="str">
        <f t="shared" ref="I3:I9" si="2">_xlfn.CONCAT(A3,"/",B3)</f>
        <v>/broad/macosko/mkim/SynapseSeq/240215_Goofy/bulk/dialout2/A2</v>
      </c>
      <c r="J3" s="9" t="str">
        <f t="shared" si="0"/>
        <v>/broad/macosko/mkim/SynapseSeq/240215_Goofy/fastqs/240301_A22HV5GLT3_NovaSeqX/D703_S3_L001_R1_001.fastq.gz</v>
      </c>
      <c r="K3" s="9" t="str">
        <f t="shared" si="1"/>
        <v>/broad/macosko/mkim/SynapseSeq/240215_Goofy/fastqs/240301_A22HV5GLT3_NovaSeqX/D703_S3_L001_R2_001.fastq.gz</v>
      </c>
    </row>
    <row r="4" spans="1:11" x14ac:dyDescent="0.2">
      <c r="A4" s="6" t="s">
        <v>38</v>
      </c>
      <c r="B4" s="6" t="s">
        <v>53</v>
      </c>
      <c r="C4" s="7" t="s">
        <v>37</v>
      </c>
      <c r="D4" s="7" t="s">
        <v>13</v>
      </c>
      <c r="E4" t="s">
        <v>30</v>
      </c>
      <c r="F4" t="s">
        <v>64</v>
      </c>
      <c r="G4" s="8">
        <v>5</v>
      </c>
      <c r="H4" s="8">
        <v>5</v>
      </c>
      <c r="I4" s="9" t="str">
        <f t="shared" si="2"/>
        <v>/broad/macosko/mkim/SynapseSeq/240215_Goofy/bulk/dialout2/A3</v>
      </c>
      <c r="J4" s="9" t="str">
        <f t="shared" si="0"/>
        <v>/broad/macosko/mkim/SynapseSeq/240215_Goofy/fastqs/240301_A22HV5GLT3_NovaSeqX/D704_S4_L004_R1_001.fastq.gz</v>
      </c>
      <c r="K4" s="9" t="str">
        <f t="shared" si="1"/>
        <v>/broad/macosko/mkim/SynapseSeq/240215_Goofy/fastqs/240301_A22HV5GLT3_NovaSeqX/D704_S4_L004_R2_001.fastq.gz</v>
      </c>
    </row>
    <row r="5" spans="1:11" x14ac:dyDescent="0.2">
      <c r="A5" s="6" t="s">
        <v>38</v>
      </c>
      <c r="B5" s="6" t="s">
        <v>55</v>
      </c>
      <c r="C5" s="7" t="s">
        <v>37</v>
      </c>
      <c r="D5" s="7" t="s">
        <v>14</v>
      </c>
      <c r="E5" t="s">
        <v>31</v>
      </c>
      <c r="F5" t="s">
        <v>64</v>
      </c>
      <c r="G5" s="8">
        <v>5</v>
      </c>
      <c r="H5" s="8">
        <v>5</v>
      </c>
      <c r="I5" s="9" t="str">
        <f t="shared" si="2"/>
        <v>/broad/macosko/mkim/SynapseSeq/240215_Goofy/bulk/dialout2/A4</v>
      </c>
      <c r="J5" s="9" t="str">
        <f t="shared" si="0"/>
        <v>/broad/macosko/mkim/SynapseSeq/240215_Goofy/fastqs/240301_A22HV5GLT3_NovaSeqX/D705_S5_L004_R1_001.fastq.gz</v>
      </c>
      <c r="K5" s="9" t="str">
        <f t="shared" si="1"/>
        <v>/broad/macosko/mkim/SynapseSeq/240215_Goofy/fastqs/240301_A22HV5GLT3_NovaSeqX/D705_S5_L004_R2_001.fastq.gz</v>
      </c>
    </row>
    <row r="6" spans="1:11" x14ac:dyDescent="0.2">
      <c r="A6" s="6" t="s">
        <v>38</v>
      </c>
      <c r="B6" s="6" t="s">
        <v>56</v>
      </c>
      <c r="C6" s="7" t="s">
        <v>37</v>
      </c>
      <c r="D6" s="7" t="s">
        <v>15</v>
      </c>
      <c r="E6" t="s">
        <v>32</v>
      </c>
      <c r="F6" t="s">
        <v>64</v>
      </c>
      <c r="G6" s="8">
        <v>5</v>
      </c>
      <c r="H6" s="8">
        <v>5</v>
      </c>
      <c r="I6" s="9" t="str">
        <f t="shared" si="2"/>
        <v>/broad/macosko/mkim/SynapseSeq/240215_Goofy/bulk/dialout2/A5</v>
      </c>
      <c r="J6" s="9" t="str">
        <f t="shared" si="0"/>
        <v>/broad/macosko/mkim/SynapseSeq/240215_Goofy/fastqs/240301_A22HV5GLT3_NovaSeqX/D706_S6_L004_R1_001.fastq.gz</v>
      </c>
      <c r="K6" s="9" t="str">
        <f t="shared" si="1"/>
        <v>/broad/macosko/mkim/SynapseSeq/240215_Goofy/fastqs/240301_A22HV5GLT3_NovaSeqX/D706_S6_L004_R2_001.fastq.gz</v>
      </c>
    </row>
    <row r="7" spans="1:11" x14ac:dyDescent="0.2">
      <c r="A7" s="6" t="s">
        <v>38</v>
      </c>
      <c r="B7" s="6" t="s">
        <v>57</v>
      </c>
      <c r="C7" s="7" t="s">
        <v>37</v>
      </c>
      <c r="D7" s="7" t="s">
        <v>16</v>
      </c>
      <c r="E7" t="s">
        <v>33</v>
      </c>
      <c r="F7" t="s">
        <v>64</v>
      </c>
      <c r="G7" s="8">
        <v>5</v>
      </c>
      <c r="H7" s="8">
        <v>5</v>
      </c>
      <c r="I7" s="9" t="str">
        <f t="shared" si="2"/>
        <v>/broad/macosko/mkim/SynapseSeq/240215_Goofy/bulk/dialout2/A6</v>
      </c>
      <c r="J7" s="9" t="str">
        <f t="shared" si="0"/>
        <v>/broad/macosko/mkim/SynapseSeq/240215_Goofy/fastqs/240301_A22HV5GLT3_NovaSeqX/D707_S7_L004_R1_001.fastq.gz</v>
      </c>
      <c r="K7" s="9" t="str">
        <f t="shared" si="1"/>
        <v>/broad/macosko/mkim/SynapseSeq/240215_Goofy/fastqs/240301_A22HV5GLT3_NovaSeqX/D707_S7_L004_R2_001.fastq.gz</v>
      </c>
    </row>
    <row r="8" spans="1:11" x14ac:dyDescent="0.2">
      <c r="A8" s="6" t="s">
        <v>38</v>
      </c>
      <c r="B8" s="6" t="s">
        <v>58</v>
      </c>
      <c r="C8" s="7" t="s">
        <v>37</v>
      </c>
      <c r="D8" s="7" t="s">
        <v>17</v>
      </c>
      <c r="E8" t="s">
        <v>34</v>
      </c>
      <c r="F8" t="s">
        <v>64</v>
      </c>
      <c r="G8" s="8">
        <v>5</v>
      </c>
      <c r="H8" s="8">
        <v>5</v>
      </c>
      <c r="I8" s="9" t="str">
        <f t="shared" si="2"/>
        <v>/broad/macosko/mkim/SynapseSeq/240215_Goofy/bulk/dialout2/A7</v>
      </c>
      <c r="J8" s="9" t="str">
        <f t="shared" si="0"/>
        <v>/broad/macosko/mkim/SynapseSeq/240215_Goofy/fastqs/240301_A22HV5GLT3_NovaSeqX/D708_S8_L004_R1_001.fastq.gz</v>
      </c>
      <c r="K8" s="9" t="str">
        <f t="shared" si="1"/>
        <v>/broad/macosko/mkim/SynapseSeq/240215_Goofy/fastqs/240301_A22HV5GLT3_NovaSeqX/D708_S8_L004_R2_001.fastq.gz</v>
      </c>
    </row>
    <row r="9" spans="1:11" x14ac:dyDescent="0.2">
      <c r="A9" s="6" t="s">
        <v>38</v>
      </c>
      <c r="B9" s="6" t="s">
        <v>59</v>
      </c>
      <c r="C9" s="7" t="s">
        <v>37</v>
      </c>
      <c r="D9" s="7" t="s">
        <v>18</v>
      </c>
      <c r="E9" t="s">
        <v>35</v>
      </c>
      <c r="F9" t="s">
        <v>64</v>
      </c>
      <c r="G9" s="8">
        <v>5</v>
      </c>
      <c r="H9" s="8">
        <v>5</v>
      </c>
      <c r="I9" s="9" t="str">
        <f t="shared" si="2"/>
        <v>/broad/macosko/mkim/SynapseSeq/240215_Goofy/bulk/dialout2/A8</v>
      </c>
      <c r="J9" s="9" t="str">
        <f t="shared" si="0"/>
        <v>/broad/macosko/mkim/SynapseSeq/240215_Goofy/fastqs/240301_A22HV5GLT3_NovaSeqX/D709_S9_L004_R1_001.fastq.gz</v>
      </c>
      <c r="K9" s="9" t="str">
        <f t="shared" si="1"/>
        <v>/broad/macosko/mkim/SynapseSeq/240215_Goofy/fastqs/240301_A22HV5GLT3_NovaSeqX/D709_S9_L004_R2_001.fastq.gz</v>
      </c>
    </row>
    <row r="10" spans="1:11" x14ac:dyDescent="0.2">
      <c r="A10" s="6" t="s">
        <v>38</v>
      </c>
      <c r="B10" s="6" t="s">
        <v>60</v>
      </c>
      <c r="C10" s="7" t="s">
        <v>37</v>
      </c>
      <c r="D10" s="7" t="s">
        <v>11</v>
      </c>
      <c r="E10" t="s">
        <v>28</v>
      </c>
      <c r="F10" t="s">
        <v>54</v>
      </c>
      <c r="G10" s="8">
        <v>5</v>
      </c>
      <c r="H10" s="8">
        <v>5</v>
      </c>
      <c r="I10" s="9" t="str">
        <f>_xlfn.CONCAT(A10,"/",B10)</f>
        <v>/broad/macosko/mkim/SynapseSeq/240215_Goofy/bulk/dialout2/B1</v>
      </c>
      <c r="J10" s="9" t="str">
        <f t="shared" si="0"/>
        <v>/broad/macosko/mkim/SynapseSeq/240215_Goofy/fastqs/240301_A22HV5GLT3_NovaSeqX/D702_S2_L006_R1_001.fastq.gz</v>
      </c>
      <c r="K10" s="9" t="str">
        <f t="shared" si="1"/>
        <v>/broad/macosko/mkim/SynapseSeq/240215_Goofy/fastqs/240301_A22HV5GLT3_NovaSeqX/D702_S2_L006_R2_001.fastq.gz</v>
      </c>
    </row>
    <row r="11" spans="1:11" x14ac:dyDescent="0.2">
      <c r="A11" s="6" t="s">
        <v>38</v>
      </c>
      <c r="B11" s="6" t="s">
        <v>61</v>
      </c>
      <c r="C11" s="7" t="s">
        <v>37</v>
      </c>
      <c r="D11" s="7" t="s">
        <v>12</v>
      </c>
      <c r="E11" t="s">
        <v>29</v>
      </c>
      <c r="F11" t="s">
        <v>54</v>
      </c>
      <c r="G11" s="8">
        <v>5</v>
      </c>
      <c r="H11" s="8">
        <v>5</v>
      </c>
      <c r="I11" s="9" t="str">
        <f t="shared" ref="I11:I13" si="3">_xlfn.CONCAT(A11,"/",B11)</f>
        <v>/broad/macosko/mkim/SynapseSeq/240215_Goofy/bulk/dialout2/B2</v>
      </c>
      <c r="J11" s="9" t="str">
        <f t="shared" si="0"/>
        <v>/broad/macosko/mkim/SynapseSeq/240215_Goofy/fastqs/240301_A22HV5GLT3_NovaSeqX/D703_S3_L006_R1_001.fastq.gz</v>
      </c>
      <c r="K11" s="9" t="str">
        <f t="shared" si="1"/>
        <v>/broad/macosko/mkim/SynapseSeq/240215_Goofy/fastqs/240301_A22HV5GLT3_NovaSeqX/D703_S3_L006_R2_001.fastq.gz</v>
      </c>
    </row>
    <row r="12" spans="1:11" x14ac:dyDescent="0.2">
      <c r="A12" s="6" t="s">
        <v>38</v>
      </c>
      <c r="B12" s="6" t="s">
        <v>62</v>
      </c>
      <c r="C12" s="7" t="s">
        <v>37</v>
      </c>
      <c r="D12" s="7" t="s">
        <v>13</v>
      </c>
      <c r="E12" t="s">
        <v>30</v>
      </c>
      <c r="F12" t="s">
        <v>54</v>
      </c>
      <c r="G12" s="8">
        <v>5</v>
      </c>
      <c r="H12" s="8">
        <v>5</v>
      </c>
      <c r="I12" s="9" t="str">
        <f t="shared" si="3"/>
        <v>/broad/macosko/mkim/SynapseSeq/240215_Goofy/bulk/dialout2/B3</v>
      </c>
      <c r="J12" s="9" t="str">
        <f t="shared" si="0"/>
        <v>/broad/macosko/mkim/SynapseSeq/240215_Goofy/fastqs/240301_A22HV5GLT3_NovaSeqX/D704_S4_L006_R1_001.fastq.gz</v>
      </c>
      <c r="K12" s="9" t="str">
        <f t="shared" si="1"/>
        <v>/broad/macosko/mkim/SynapseSeq/240215_Goofy/fastqs/240301_A22HV5GLT3_NovaSeqX/D704_S4_L006_R2_001.fastq.gz</v>
      </c>
    </row>
    <row r="13" spans="1:11" x14ac:dyDescent="0.2">
      <c r="A13" s="6" t="s">
        <v>38</v>
      </c>
      <c r="B13" s="6" t="s">
        <v>63</v>
      </c>
      <c r="C13" s="7" t="s">
        <v>37</v>
      </c>
      <c r="D13" s="7" t="s">
        <v>14</v>
      </c>
      <c r="E13" t="s">
        <v>31</v>
      </c>
      <c r="F13" t="s">
        <v>54</v>
      </c>
      <c r="G13" s="8">
        <v>5</v>
      </c>
      <c r="H13" s="8">
        <v>5</v>
      </c>
      <c r="I13" s="9" t="str">
        <f t="shared" si="3"/>
        <v>/broad/macosko/mkim/SynapseSeq/240215_Goofy/bulk/dialout2/B4</v>
      </c>
      <c r="J13" s="9" t="str">
        <f t="shared" si="0"/>
        <v>/broad/macosko/mkim/SynapseSeq/240215_Goofy/fastqs/240301_A22HV5GLT3_NovaSeqX/D705_S5_L006_R1_001.fastq.gz</v>
      </c>
      <c r="K13" s="9" t="str">
        <f t="shared" si="1"/>
        <v>/broad/macosko/mkim/SynapseSeq/240215_Goofy/fastqs/240301_A22HV5GLT3_NovaSeqX/D705_S5_L006_R2_001.fastq.gz</v>
      </c>
    </row>
    <row r="14" spans="1:11" x14ac:dyDescent="0.2">
      <c r="A14" s="6" t="s">
        <v>38</v>
      </c>
      <c r="B14" s="6" t="s">
        <v>24</v>
      </c>
      <c r="C14" s="7" t="s">
        <v>37</v>
      </c>
      <c r="D14" s="7" t="s">
        <v>15</v>
      </c>
      <c r="E14" t="s">
        <v>32</v>
      </c>
      <c r="F14" t="s">
        <v>48</v>
      </c>
      <c r="G14" s="8">
        <v>5</v>
      </c>
      <c r="H14" s="8">
        <v>5</v>
      </c>
      <c r="I14" s="9" t="str">
        <f t="shared" ref="I14:I17" si="4">_xlfn.CONCAT(A14,"/",B14)</f>
        <v>/broad/macosko/mkim/SynapseSeq/240215_Goofy/bulk/dialout2/C1</v>
      </c>
      <c r="J14" s="9" t="str">
        <f t="shared" ref="J14:J25" si="5">_xlfn.CONCAT(C14,"/",D14,"_",E14,"_",F14,"_R1_001.fastq.gz")</f>
        <v>/broad/macosko/mkim/SynapseSeq/240215_Goofy/fastqs/240301_A22HV5GLT3_NovaSeqX/D706_S6_L007_R1_001.fastq.gz</v>
      </c>
      <c r="K14" s="9" t="str">
        <f t="shared" ref="K14:K25" si="6">_xlfn.CONCAT(C14,"/",D14,"_",E14,"_",F14,"_R2_001.fastq.gz")</f>
        <v>/broad/macosko/mkim/SynapseSeq/240215_Goofy/fastqs/240301_A22HV5GLT3_NovaSeqX/D706_S6_L007_R2_001.fastq.gz</v>
      </c>
    </row>
    <row r="15" spans="1:11" x14ac:dyDescent="0.2">
      <c r="A15" s="6" t="s">
        <v>38</v>
      </c>
      <c r="B15" s="6" t="s">
        <v>25</v>
      </c>
      <c r="C15" s="7" t="s">
        <v>37</v>
      </c>
      <c r="D15" s="7" t="s">
        <v>16</v>
      </c>
      <c r="E15" t="s">
        <v>33</v>
      </c>
      <c r="F15" t="s">
        <v>48</v>
      </c>
      <c r="G15" s="8">
        <v>5</v>
      </c>
      <c r="H15" s="8">
        <v>5</v>
      </c>
      <c r="I15" s="9" t="str">
        <f t="shared" si="4"/>
        <v>/broad/macosko/mkim/SynapseSeq/240215_Goofy/bulk/dialout2/C2</v>
      </c>
      <c r="J15" s="9" t="str">
        <f t="shared" si="5"/>
        <v>/broad/macosko/mkim/SynapseSeq/240215_Goofy/fastqs/240301_A22HV5GLT3_NovaSeqX/D707_S7_L007_R1_001.fastq.gz</v>
      </c>
      <c r="K15" s="9" t="str">
        <f t="shared" si="6"/>
        <v>/broad/macosko/mkim/SynapseSeq/240215_Goofy/fastqs/240301_A22HV5GLT3_NovaSeqX/D707_S7_L007_R2_001.fastq.gz</v>
      </c>
    </row>
    <row r="16" spans="1:11" x14ac:dyDescent="0.2">
      <c r="A16" s="6" t="s">
        <v>38</v>
      </c>
      <c r="B16" s="6" t="s">
        <v>26</v>
      </c>
      <c r="C16" s="7" t="s">
        <v>37</v>
      </c>
      <c r="D16" s="7" t="s">
        <v>17</v>
      </c>
      <c r="E16" t="s">
        <v>34</v>
      </c>
      <c r="F16" t="s">
        <v>54</v>
      </c>
      <c r="G16" s="8">
        <v>5</v>
      </c>
      <c r="H16" s="8">
        <v>5</v>
      </c>
      <c r="I16" s="9" t="str">
        <f t="shared" si="4"/>
        <v>/broad/macosko/mkim/SynapseSeq/240215_Goofy/bulk/dialout2/C3</v>
      </c>
      <c r="J16" s="9" t="str">
        <f t="shared" si="5"/>
        <v>/broad/macosko/mkim/SynapseSeq/240215_Goofy/fastqs/240301_A22HV5GLT3_NovaSeqX/D708_S8_L006_R1_001.fastq.gz</v>
      </c>
      <c r="K16" s="9" t="str">
        <f t="shared" si="6"/>
        <v>/broad/macosko/mkim/SynapseSeq/240215_Goofy/fastqs/240301_A22HV5GLT3_NovaSeqX/D708_S8_L006_R2_001.fastq.gz</v>
      </c>
    </row>
    <row r="17" spans="1:11" x14ac:dyDescent="0.2">
      <c r="A17" s="6" t="s">
        <v>38</v>
      </c>
      <c r="B17" s="6" t="s">
        <v>27</v>
      </c>
      <c r="C17" s="7" t="s">
        <v>37</v>
      </c>
      <c r="D17" s="7" t="s">
        <v>18</v>
      </c>
      <c r="E17" t="s">
        <v>35</v>
      </c>
      <c r="F17" t="s">
        <v>47</v>
      </c>
      <c r="G17" s="8">
        <v>5</v>
      </c>
      <c r="H17" s="8">
        <v>5</v>
      </c>
      <c r="I17" s="9" t="str">
        <f t="shared" si="4"/>
        <v>/broad/macosko/mkim/SynapseSeq/240215_Goofy/bulk/dialout2/C4</v>
      </c>
      <c r="J17" s="9" t="str">
        <f t="shared" si="5"/>
        <v>/broad/macosko/mkim/SynapseSeq/240215_Goofy/fastqs/240301_A22HV5GLT3_NovaSeqX/D709_S9_L008_R1_001.fastq.gz</v>
      </c>
      <c r="K17" s="9" t="str">
        <f t="shared" si="6"/>
        <v>/broad/macosko/mkim/SynapseSeq/240215_Goofy/fastqs/240301_A22HV5GLT3_NovaSeqX/D709_S9_L008_R2_001.fastq.gz</v>
      </c>
    </row>
    <row r="18" spans="1:11" x14ac:dyDescent="0.2">
      <c r="A18" s="6" t="s">
        <v>38</v>
      </c>
      <c r="B18" s="6" t="s">
        <v>39</v>
      </c>
      <c r="C18" s="7" t="s">
        <v>37</v>
      </c>
      <c r="D18" s="7" t="s">
        <v>11</v>
      </c>
      <c r="E18" t="s">
        <v>28</v>
      </c>
      <c r="F18" t="s">
        <v>51</v>
      </c>
      <c r="G18" s="8">
        <v>5</v>
      </c>
      <c r="H18" s="8">
        <v>5</v>
      </c>
      <c r="I18" s="9" t="str">
        <f>_xlfn.CONCAT(A18,"/",B18)</f>
        <v>/broad/macosko/mkim/SynapseSeq/240215_Goofy/bulk/dialout2/D1</v>
      </c>
      <c r="J18" s="9" t="str">
        <f t="shared" si="5"/>
        <v>/broad/macosko/mkim/SynapseSeq/240215_Goofy/fastqs/240301_A22HV5GLT3_NovaSeqX/D702_S2_L003_R1_001.fastq.gz</v>
      </c>
      <c r="K18" s="9" t="str">
        <f t="shared" si="6"/>
        <v>/broad/macosko/mkim/SynapseSeq/240215_Goofy/fastqs/240301_A22HV5GLT3_NovaSeqX/D702_S2_L003_R2_001.fastq.gz</v>
      </c>
    </row>
    <row r="19" spans="1:11" x14ac:dyDescent="0.2">
      <c r="A19" s="6" t="s">
        <v>38</v>
      </c>
      <c r="B19" s="6" t="s">
        <v>40</v>
      </c>
      <c r="C19" s="7" t="s">
        <v>37</v>
      </c>
      <c r="D19" s="7" t="s">
        <v>12</v>
      </c>
      <c r="E19" t="s">
        <v>29</v>
      </c>
      <c r="F19" t="s">
        <v>51</v>
      </c>
      <c r="G19" s="8">
        <v>5</v>
      </c>
      <c r="H19" s="8">
        <v>5</v>
      </c>
      <c r="I19" s="9" t="str">
        <f t="shared" ref="I19:I25" si="7">_xlfn.CONCAT(A19,"/",B19)</f>
        <v>/broad/macosko/mkim/SynapseSeq/240215_Goofy/bulk/dialout2/D2</v>
      </c>
      <c r="J19" s="9" t="str">
        <f t="shared" si="5"/>
        <v>/broad/macosko/mkim/SynapseSeq/240215_Goofy/fastqs/240301_A22HV5GLT3_NovaSeqX/D703_S3_L003_R1_001.fastq.gz</v>
      </c>
      <c r="K19" s="9" t="str">
        <f t="shared" si="6"/>
        <v>/broad/macosko/mkim/SynapseSeq/240215_Goofy/fastqs/240301_A22HV5GLT3_NovaSeqX/D703_S3_L003_R2_001.fastq.gz</v>
      </c>
    </row>
    <row r="20" spans="1:11" x14ac:dyDescent="0.2">
      <c r="A20" s="6" t="s">
        <v>38</v>
      </c>
      <c r="B20" s="6" t="s">
        <v>41</v>
      </c>
      <c r="C20" s="7" t="s">
        <v>37</v>
      </c>
      <c r="D20" s="7" t="s">
        <v>13</v>
      </c>
      <c r="E20" t="s">
        <v>30</v>
      </c>
      <c r="F20" t="s">
        <v>51</v>
      </c>
      <c r="G20" s="8">
        <v>5</v>
      </c>
      <c r="H20" s="8">
        <v>5</v>
      </c>
      <c r="I20" s="9" t="str">
        <f t="shared" si="7"/>
        <v>/broad/macosko/mkim/SynapseSeq/240215_Goofy/bulk/dialout2/D3</v>
      </c>
      <c r="J20" s="9" t="str">
        <f t="shared" si="5"/>
        <v>/broad/macosko/mkim/SynapseSeq/240215_Goofy/fastqs/240301_A22HV5GLT3_NovaSeqX/D704_S4_L003_R1_001.fastq.gz</v>
      </c>
      <c r="K20" s="9" t="str">
        <f t="shared" si="6"/>
        <v>/broad/macosko/mkim/SynapseSeq/240215_Goofy/fastqs/240301_A22HV5GLT3_NovaSeqX/D704_S4_L003_R2_001.fastq.gz</v>
      </c>
    </row>
    <row r="21" spans="1:11" x14ac:dyDescent="0.2">
      <c r="A21" s="6" t="s">
        <v>38</v>
      </c>
      <c r="B21" s="6" t="s">
        <v>42</v>
      </c>
      <c r="C21" s="7" t="s">
        <v>37</v>
      </c>
      <c r="D21" s="7" t="s">
        <v>14</v>
      </c>
      <c r="E21" t="s">
        <v>31</v>
      </c>
      <c r="F21" t="s">
        <v>47</v>
      </c>
      <c r="G21" s="8">
        <v>5</v>
      </c>
      <c r="H21" s="8">
        <v>5</v>
      </c>
      <c r="I21" s="9" t="str">
        <f t="shared" si="7"/>
        <v>/broad/macosko/mkim/SynapseSeq/240215_Goofy/bulk/dialout2/D4</v>
      </c>
      <c r="J21" s="9" t="str">
        <f t="shared" si="5"/>
        <v>/broad/macosko/mkim/SynapseSeq/240215_Goofy/fastqs/240301_A22HV5GLT3_NovaSeqX/D705_S5_L008_R1_001.fastq.gz</v>
      </c>
      <c r="K21" s="9" t="str">
        <f t="shared" si="6"/>
        <v>/broad/macosko/mkim/SynapseSeq/240215_Goofy/fastqs/240301_A22HV5GLT3_NovaSeqX/D705_S5_L008_R2_001.fastq.gz</v>
      </c>
    </row>
    <row r="22" spans="1:11" x14ac:dyDescent="0.2">
      <c r="A22" s="6" t="s">
        <v>38</v>
      </c>
      <c r="B22" s="6" t="s">
        <v>43</v>
      </c>
      <c r="C22" s="7" t="s">
        <v>37</v>
      </c>
      <c r="D22" s="7" t="s">
        <v>15</v>
      </c>
      <c r="E22" t="s">
        <v>32</v>
      </c>
      <c r="F22" t="s">
        <v>54</v>
      </c>
      <c r="G22" s="8">
        <v>5</v>
      </c>
      <c r="H22" s="8">
        <v>5</v>
      </c>
      <c r="I22" s="9" t="str">
        <f t="shared" si="7"/>
        <v>/broad/macosko/mkim/SynapseSeq/240215_Goofy/bulk/dialout2/D5</v>
      </c>
      <c r="J22" s="9" t="str">
        <f t="shared" si="5"/>
        <v>/broad/macosko/mkim/SynapseSeq/240215_Goofy/fastqs/240301_A22HV5GLT3_NovaSeqX/D706_S6_L006_R1_001.fastq.gz</v>
      </c>
      <c r="K22" s="9" t="str">
        <f t="shared" si="6"/>
        <v>/broad/macosko/mkim/SynapseSeq/240215_Goofy/fastqs/240301_A22HV5GLT3_NovaSeqX/D706_S6_L006_R2_001.fastq.gz</v>
      </c>
    </row>
    <row r="23" spans="1:11" x14ac:dyDescent="0.2">
      <c r="A23" s="6" t="s">
        <v>38</v>
      </c>
      <c r="B23" s="6" t="s">
        <v>44</v>
      </c>
      <c r="C23" s="7" t="s">
        <v>37</v>
      </c>
      <c r="D23" s="7" t="s">
        <v>16</v>
      </c>
      <c r="E23" t="s">
        <v>33</v>
      </c>
      <c r="F23" t="s">
        <v>36</v>
      </c>
      <c r="G23" s="8">
        <v>5</v>
      </c>
      <c r="H23" s="8">
        <v>5</v>
      </c>
      <c r="I23" s="9" t="str">
        <f t="shared" si="7"/>
        <v>/broad/macosko/mkim/SynapseSeq/240215_Goofy/bulk/dialout2/D6</v>
      </c>
      <c r="J23" s="9" t="str">
        <f t="shared" si="5"/>
        <v>/broad/macosko/mkim/SynapseSeq/240215_Goofy/fastqs/240301_A22HV5GLT3_NovaSeqX/D707_S7_L005_R1_001.fastq.gz</v>
      </c>
      <c r="K23" s="9" t="str">
        <f t="shared" si="6"/>
        <v>/broad/macosko/mkim/SynapseSeq/240215_Goofy/fastqs/240301_A22HV5GLT3_NovaSeqX/D707_S7_L005_R2_001.fastq.gz</v>
      </c>
    </row>
    <row r="24" spans="1:11" x14ac:dyDescent="0.2">
      <c r="A24" s="6" t="s">
        <v>38</v>
      </c>
      <c r="B24" s="6" t="s">
        <v>45</v>
      </c>
      <c r="C24" s="7" t="s">
        <v>37</v>
      </c>
      <c r="D24" s="7" t="s">
        <v>17</v>
      </c>
      <c r="E24" t="s">
        <v>34</v>
      </c>
      <c r="F24" t="s">
        <v>36</v>
      </c>
      <c r="G24" s="8">
        <v>5</v>
      </c>
      <c r="H24" s="8">
        <v>5</v>
      </c>
      <c r="I24" s="9" t="str">
        <f t="shared" si="7"/>
        <v>/broad/macosko/mkim/SynapseSeq/240215_Goofy/bulk/dialout2/D7</v>
      </c>
      <c r="J24" s="9" t="str">
        <f t="shared" si="5"/>
        <v>/broad/macosko/mkim/SynapseSeq/240215_Goofy/fastqs/240301_A22HV5GLT3_NovaSeqX/D708_S8_L005_R1_001.fastq.gz</v>
      </c>
      <c r="K24" s="9" t="str">
        <f t="shared" si="6"/>
        <v>/broad/macosko/mkim/SynapseSeq/240215_Goofy/fastqs/240301_A22HV5GLT3_NovaSeqX/D708_S8_L005_R2_001.fastq.gz</v>
      </c>
    </row>
    <row r="25" spans="1:11" x14ac:dyDescent="0.2">
      <c r="A25" s="6" t="s">
        <v>38</v>
      </c>
      <c r="B25" s="6" t="s">
        <v>46</v>
      </c>
      <c r="C25" s="7" t="s">
        <v>37</v>
      </c>
      <c r="D25" s="7" t="s">
        <v>18</v>
      </c>
      <c r="E25" t="s">
        <v>35</v>
      </c>
      <c r="F25" t="s">
        <v>36</v>
      </c>
      <c r="G25" s="8">
        <v>5</v>
      </c>
      <c r="H25" s="8">
        <v>5</v>
      </c>
      <c r="I25" s="9" t="str">
        <f t="shared" si="7"/>
        <v>/broad/macosko/mkim/SynapseSeq/240215_Goofy/bulk/dialout2/D8</v>
      </c>
      <c r="J25" s="9" t="str">
        <f t="shared" si="5"/>
        <v>/broad/macosko/mkim/SynapseSeq/240215_Goofy/fastqs/240301_A22HV5GLT3_NovaSeqX/D709_S9_L005_R1_001.fastq.gz</v>
      </c>
      <c r="K25" s="9" t="str">
        <f t="shared" si="6"/>
        <v>/broad/macosko/mkim/SynapseSeq/240215_Goofy/fastqs/240301_A22HV5GLT3_NovaSeqX/D709_S9_L005_R2_001.fastq.gz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055A-53B8-A341-83F8-D9723575A751}">
  <dimension ref="E6:E14"/>
  <sheetViews>
    <sheetView tabSelected="1" topLeftCell="B1" workbookViewId="0">
      <selection activeCell="E12" sqref="E12"/>
    </sheetView>
  </sheetViews>
  <sheetFormatPr baseColWidth="10" defaultRowHeight="16" x14ac:dyDescent="0.2"/>
  <sheetData>
    <row r="6" spans="5:5" x14ac:dyDescent="0.2">
      <c r="E6" t="s">
        <v>19</v>
      </c>
    </row>
    <row r="7" spans="5:5" x14ac:dyDescent="0.2">
      <c r="E7" t="s">
        <v>20</v>
      </c>
    </row>
    <row r="8" spans="5:5" x14ac:dyDescent="0.2">
      <c r="E8" s="12" t="s">
        <v>21</v>
      </c>
    </row>
    <row r="9" spans="5:5" x14ac:dyDescent="0.2">
      <c r="E9" s="12" t="s">
        <v>22</v>
      </c>
    </row>
    <row r="10" spans="5:5" x14ac:dyDescent="0.2">
      <c r="E10" s="12" t="s">
        <v>23</v>
      </c>
    </row>
    <row r="11" spans="5:5" x14ac:dyDescent="0.2">
      <c r="E11" t="s">
        <v>66</v>
      </c>
    </row>
    <row r="14" spans="5:5" x14ac:dyDescent="0.2">
      <c r="E14" s="1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240217_batch_synapseseq_bulkseq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Michael Kim</cp:lastModifiedBy>
  <dcterms:created xsi:type="dcterms:W3CDTF">2023-07-03T13:24:01Z</dcterms:created>
  <dcterms:modified xsi:type="dcterms:W3CDTF">2024-03-10T22:35:42Z</dcterms:modified>
</cp:coreProperties>
</file>