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road_macosko/mkim/SynapseSeq/240215_Goofy/slide/"/>
    </mc:Choice>
  </mc:AlternateContent>
  <xr:revisionPtr revIDLastSave="0" documentId="13_ncr:1_{9B25265C-1338-7546-9359-1C4B13FA8419}" xr6:coauthVersionLast="47" xr6:coauthVersionMax="47" xr10:uidLastSave="{00000000-0000-0000-0000-000000000000}"/>
  <bookViews>
    <workbookView xWindow="9920" yWindow="500" windowWidth="23580" windowHeight="14360" xr2:uid="{CCAFDB2A-982B-A94C-BCCB-B80A744CD567}"/>
  </bookViews>
  <sheets>
    <sheet name="231221_batch_synapseseq_slides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</calcChain>
</file>

<file path=xl/sharedStrings.xml><?xml version="1.0" encoding="utf-8"?>
<sst xmlns="http://schemas.openxmlformats.org/spreadsheetml/2006/main" count="124" uniqueCount="72">
  <si>
    <t>output_dir</t>
  </si>
  <si>
    <t>read1_path</t>
  </si>
  <si>
    <t>read2_path</t>
  </si>
  <si>
    <t>puck_path</t>
  </si>
  <si>
    <t>tag_mm</t>
  </si>
  <si>
    <t>constant_mm</t>
  </si>
  <si>
    <t>output_base</t>
  </si>
  <si>
    <t>sample_name</t>
  </si>
  <si>
    <t>fastq_base</t>
  </si>
  <si>
    <t>puck</t>
  </si>
  <si>
    <t>index</t>
  </si>
  <si>
    <t>sample</t>
  </si>
  <si>
    <t>lane</t>
  </si>
  <si>
    <t>D707</t>
  </si>
  <si>
    <t>D708</t>
  </si>
  <si>
    <t>D709</t>
  </si>
  <si>
    <t>STR_01</t>
  </si>
  <si>
    <t>D701</t>
  </si>
  <si>
    <t>D704</t>
  </si>
  <si>
    <t>D705</t>
  </si>
  <si>
    <t>D706</t>
  </si>
  <si>
    <t>D702</t>
  </si>
  <si>
    <t>D703</t>
  </si>
  <si>
    <t>STR_02</t>
  </si>
  <si>
    <t>STR_03</t>
  </si>
  <si>
    <t>STR_04</t>
  </si>
  <si>
    <t>STR_05</t>
  </si>
  <si>
    <t>STR_06</t>
  </si>
  <si>
    <t>STR_07</t>
  </si>
  <si>
    <t>STR_08</t>
  </si>
  <si>
    <t>STR_09</t>
  </si>
  <si>
    <t>STR_10</t>
  </si>
  <si>
    <t>STR_11</t>
  </si>
  <si>
    <t>STR_15</t>
  </si>
  <si>
    <t>STR_16</t>
  </si>
  <si>
    <t>STR_17</t>
  </si>
  <si>
    <t>STR_18</t>
  </si>
  <si>
    <t>ssh mkim@login</t>
  </si>
  <si>
    <t>tmux</t>
  </si>
  <si>
    <t>/broad/software/scripts/ish -P macosko_lab -l h_vmem=75g -l h_rt=30:0:0</t>
  </si>
  <si>
    <t>conda activate synapse-slideseq</t>
  </si>
  <si>
    <t>use Anaconda3</t>
  </si>
  <si>
    <t>/broad/macosko/mkim/SynapseSeq/240215_Goofy/slide/dialout</t>
  </si>
  <si>
    <t>/broad/macosko/mkim/SynapseSeq/240215_Goofy/fastqs/240213_A22JGCMLT3_NovaSeqX</t>
  </si>
  <si>
    <t>S1</t>
  </si>
  <si>
    <t>L001</t>
  </si>
  <si>
    <t>S2</t>
  </si>
  <si>
    <t>L002</t>
  </si>
  <si>
    <t>S3</t>
  </si>
  <si>
    <t>S4</t>
  </si>
  <si>
    <t>S5</t>
  </si>
  <si>
    <t>S6</t>
  </si>
  <si>
    <t>S7</t>
  </si>
  <si>
    <t>S8</t>
  </si>
  <si>
    <t>S9</t>
  </si>
  <si>
    <t>L003</t>
  </si>
  <si>
    <t>230612_10</t>
  </si>
  <si>
    <t>231201_26</t>
  </si>
  <si>
    <t>231201_19</t>
  </si>
  <si>
    <t>231201_20</t>
  </si>
  <si>
    <t>230612_27</t>
  </si>
  <si>
    <t>230612_28</t>
  </si>
  <si>
    <t>230612_12</t>
  </si>
  <si>
    <t>230612_14</t>
  </si>
  <si>
    <t>230612_15</t>
  </si>
  <si>
    <t>230612_16</t>
  </si>
  <si>
    <t>230612_17</t>
  </si>
  <si>
    <t>230612_18</t>
  </si>
  <si>
    <t>230612_19</t>
  </si>
  <si>
    <t>230612_20</t>
  </si>
  <si>
    <t>230612_21</t>
  </si>
  <si>
    <t>python /broad/macosko/mkim/Scripts/230726_batchRun_SynapseSeq_Slideseq.py  /broad/macosko/mkim/SynapseSeq/240215_Goofy/slide/240216_batch_synapseseq_slideseq_batch01.csv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</si>
</sst>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1"/>
      <color rgb="FF000000"/>
      <name val="Menlo"/>
      <family val="2"/>
    </font>
    <font>
      <sz val="12"/>
      <color rgb="FF000000"/>
      <name val="Calibri"/>
      <family val="2"/>
      <scheme val="minor"/>
    </font>
    <font>
      <sz val="15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9DBFF"/>
        <bgColor indexed="64"/>
      </patternFill>
    </fill>
    <fill>
      <patternFill patternType="solid">
        <fgColor rgb="FFAA6F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5" borderId="1" xfId="0" applyFont="1" applyFill="1" applyBorder="1"/>
    <xf numFmtId="0" fontId="1" fillId="7" borderId="1" xfId="0" applyFont="1" applyFill="1" applyBorder="1"/>
    <xf numFmtId="0" fontId="1" fillId="11" borderId="1" xfId="0" applyFont="1" applyFill="1" applyBorder="1"/>
    <xf numFmtId="0" fontId="1" fillId="9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6" borderId="1" xfId="0" applyFill="1" applyBorder="1"/>
    <xf numFmtId="0" fontId="0" fillId="10" borderId="1" xfId="0" applyFill="1" applyBorder="1"/>
    <xf numFmtId="0" fontId="0" fillId="8" borderId="1" xfId="0" applyFill="1" applyBorder="1"/>
    <xf numFmtId="0" fontId="0" fillId="2" borderId="1" xfId="0" applyFill="1" applyBorder="1"/>
    <xf numFmtId="14" fontId="0" fillId="4" borderId="1" xfId="0" applyNumberFormat="1" applyFill="1" applyBorder="1"/>
    <xf numFmtId="49" fontId="1" fillId="7" borderId="1" xfId="0" applyNumberFormat="1" applyFont="1" applyFill="1" applyBorder="1"/>
    <xf numFmtId="49" fontId="0" fillId="6" borderId="1" xfId="0" applyNumberFormat="1" applyFill="1" applyBorder="1"/>
    <xf numFmtId="0" fontId="2" fillId="10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DBFF"/>
      <color rgb="FFAA6FDC"/>
      <color rgb="FFC783FF"/>
      <color rgb="FFE0B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C68D-2BF1-2744-9CD5-BFDB287AD83A}">
  <dimension ref="A1:M28"/>
  <sheetViews>
    <sheetView tabSelected="1" workbookViewId="0">
      <selection activeCell="A18" sqref="A18"/>
    </sheetView>
  </sheetViews>
  <sheetFormatPr baseColWidth="10" defaultRowHeight="16" x14ac:dyDescent="0.2"/>
  <cols>
    <col min="1" max="1" width="76.6640625" style="7" customWidth="1"/>
    <col min="2" max="2" width="21.6640625" style="7" customWidth="1"/>
    <col min="3" max="3" width="73.6640625" style="8" customWidth="1"/>
    <col min="4" max="4" width="12.83203125" style="8" customWidth="1"/>
    <col min="5" max="5" width="13.1640625" style="8" customWidth="1"/>
    <col min="6" max="6" width="13.5" style="14" customWidth="1"/>
    <col min="7" max="7" width="25.33203125" style="9" customWidth="1"/>
    <col min="8" max="8" width="14.5" style="10" customWidth="1"/>
    <col min="9" max="9" width="15.1640625" style="10" customWidth="1"/>
    <col min="10" max="10" width="85.83203125" style="11" customWidth="1"/>
    <col min="11" max="11" width="109.83203125" style="11" customWidth="1"/>
    <col min="12" max="12" width="105.1640625" style="11" customWidth="1"/>
    <col min="13" max="13" width="88.5" style="11" customWidth="1"/>
    <col min="14" max="16384" width="10.83203125" style="6"/>
  </cols>
  <sheetData>
    <row r="1" spans="1:13" x14ac:dyDescent="0.2">
      <c r="A1" s="1" t="s">
        <v>6</v>
      </c>
      <c r="B1" s="1" t="s">
        <v>7</v>
      </c>
      <c r="C1" s="2" t="s">
        <v>8</v>
      </c>
      <c r="D1" s="2" t="s">
        <v>10</v>
      </c>
      <c r="E1" s="2" t="s">
        <v>11</v>
      </c>
      <c r="F1" s="13" t="s">
        <v>12</v>
      </c>
      <c r="G1" s="3" t="s">
        <v>9</v>
      </c>
      <c r="H1" s="4" t="s">
        <v>4</v>
      </c>
      <c r="I1" s="4" t="s">
        <v>5</v>
      </c>
      <c r="J1" s="5" t="s">
        <v>0</v>
      </c>
      <c r="K1" s="5" t="s">
        <v>1</v>
      </c>
      <c r="L1" s="5" t="s">
        <v>2</v>
      </c>
      <c r="M1" s="5" t="s">
        <v>3</v>
      </c>
    </row>
    <row r="2" spans="1:13" ht="19" x14ac:dyDescent="0.2">
      <c r="A2" s="7" t="s">
        <v>42</v>
      </c>
      <c r="B2" s="12" t="s">
        <v>16</v>
      </c>
      <c r="C2" s="8" t="s">
        <v>43</v>
      </c>
      <c r="D2" t="s">
        <v>17</v>
      </c>
      <c r="E2" t="s">
        <v>44</v>
      </c>
      <c r="F2" t="s">
        <v>45</v>
      </c>
      <c r="G2" s="18" t="s">
        <v>56</v>
      </c>
      <c r="H2" s="10">
        <v>5</v>
      </c>
      <c r="I2" s="10">
        <v>5</v>
      </c>
      <c r="J2" s="11" t="str">
        <f>_xlfn.CONCAT(A2,"/",B2)</f>
        <v>/broad/macosko/mkim/SynapseSeq/240215_Goofy/slide/dialout/STR_01</v>
      </c>
      <c r="K2" s="11" t="str">
        <f>_xlfn.CONCAT(C2,"/",D2,"_",E2,"_",F2,"_R1_001.fastq.gz")</f>
        <v>/broad/macosko/mkim/SynapseSeq/240215_Goofy/fastqs/240213_A22JGCMLT3_NovaSeqX/D701_S1_L001_R1_001.fastq.gz</v>
      </c>
      <c r="L2" s="11" t="str">
        <f>_xlfn.CONCAT(C2,"/",D2,"_",E2,"_",F2,"_R2_001.fastq.gz")</f>
        <v>/broad/macosko/mkim/SynapseSeq/240215_Goofy/fastqs/240213_A22JGCMLT3_NovaSeqX/D701_S1_L001_R2_001.fastq.gz</v>
      </c>
      <c r="M2" s="11" t="str">
        <f>_xlfn.CONCAT("/broad/chen_imaging/Slide-seq/Barcodes/Puck_",G2)</f>
        <v>/broad/chen_imaging/Slide-seq/Barcodes/Puck_230612_10</v>
      </c>
    </row>
    <row r="3" spans="1:13" ht="19" x14ac:dyDescent="0.2">
      <c r="A3" s="7" t="s">
        <v>42</v>
      </c>
      <c r="B3" s="12" t="s">
        <v>23</v>
      </c>
      <c r="C3" s="8" t="s">
        <v>43</v>
      </c>
      <c r="D3" t="s">
        <v>21</v>
      </c>
      <c r="E3" t="s">
        <v>46</v>
      </c>
      <c r="F3" t="s">
        <v>45</v>
      </c>
      <c r="G3" s="18" t="s">
        <v>57</v>
      </c>
      <c r="H3" s="10">
        <v>5</v>
      </c>
      <c r="I3" s="10">
        <v>5</v>
      </c>
      <c r="J3" s="11" t="str">
        <f t="shared" ref="J3:J16" si="0">_xlfn.CONCAT(A3,"/",B3)</f>
        <v>/broad/macosko/mkim/SynapseSeq/240215_Goofy/slide/dialout/STR_02</v>
      </c>
      <c r="K3" s="11" t="str">
        <f t="shared" ref="K3:K16" si="1">_xlfn.CONCAT(C3,"/",D3,"_",E3,"_",F3,"_R1_001.fastq.gz")</f>
        <v>/broad/macosko/mkim/SynapseSeq/240215_Goofy/fastqs/240213_A22JGCMLT3_NovaSeqX/D702_S2_L001_R1_001.fastq.gz</v>
      </c>
      <c r="L3" s="11" t="str">
        <f t="shared" ref="L3:L16" si="2">_xlfn.CONCAT(C3,"/",D3,"_",E3,"_",F3,"_R2_001.fastq.gz")</f>
        <v>/broad/macosko/mkim/SynapseSeq/240215_Goofy/fastqs/240213_A22JGCMLT3_NovaSeqX/D702_S2_L001_R2_001.fastq.gz</v>
      </c>
      <c r="M3" s="11" t="str">
        <f t="shared" ref="M3:M16" si="3">_xlfn.CONCAT("/broad/chen_imaging/Slide-seq/Barcodes/Puck_",G3)</f>
        <v>/broad/chen_imaging/Slide-seq/Barcodes/Puck_231201_26</v>
      </c>
    </row>
    <row r="4" spans="1:13" ht="19" x14ac:dyDescent="0.2">
      <c r="A4" s="7" t="s">
        <v>42</v>
      </c>
      <c r="B4" s="12" t="s">
        <v>24</v>
      </c>
      <c r="C4" s="8" t="s">
        <v>43</v>
      </c>
      <c r="D4" t="s">
        <v>17</v>
      </c>
      <c r="E4" t="s">
        <v>44</v>
      </c>
      <c r="F4" t="s">
        <v>47</v>
      </c>
      <c r="G4" s="18" t="s">
        <v>62</v>
      </c>
      <c r="H4" s="10">
        <v>5</v>
      </c>
      <c r="I4" s="10">
        <v>5</v>
      </c>
      <c r="J4" s="11" t="str">
        <f t="shared" si="0"/>
        <v>/broad/macosko/mkim/SynapseSeq/240215_Goofy/slide/dialout/STR_03</v>
      </c>
      <c r="K4" s="11" t="str">
        <f t="shared" si="1"/>
        <v>/broad/macosko/mkim/SynapseSeq/240215_Goofy/fastqs/240213_A22JGCMLT3_NovaSeqX/D701_S1_L002_R1_001.fastq.gz</v>
      </c>
      <c r="L4" s="11" t="str">
        <f t="shared" si="2"/>
        <v>/broad/macosko/mkim/SynapseSeq/240215_Goofy/fastqs/240213_A22JGCMLT3_NovaSeqX/D701_S1_L002_R2_001.fastq.gz</v>
      </c>
      <c r="M4" s="11" t="str">
        <f t="shared" si="3"/>
        <v>/broad/chen_imaging/Slide-seq/Barcodes/Puck_230612_12</v>
      </c>
    </row>
    <row r="5" spans="1:13" ht="19" x14ac:dyDescent="0.2">
      <c r="A5" s="7" t="s">
        <v>42</v>
      </c>
      <c r="B5" s="12" t="s">
        <v>25</v>
      </c>
      <c r="C5" s="8" t="s">
        <v>43</v>
      </c>
      <c r="D5" t="s">
        <v>21</v>
      </c>
      <c r="E5" t="s">
        <v>46</v>
      </c>
      <c r="F5" t="s">
        <v>47</v>
      </c>
      <c r="G5" s="18" t="s">
        <v>63</v>
      </c>
      <c r="H5" s="10">
        <v>5</v>
      </c>
      <c r="I5" s="10">
        <v>5</v>
      </c>
      <c r="J5" s="11" t="str">
        <f t="shared" si="0"/>
        <v>/broad/macosko/mkim/SynapseSeq/240215_Goofy/slide/dialout/STR_04</v>
      </c>
      <c r="K5" s="11" t="str">
        <f t="shared" si="1"/>
        <v>/broad/macosko/mkim/SynapseSeq/240215_Goofy/fastqs/240213_A22JGCMLT3_NovaSeqX/D702_S2_L002_R1_001.fastq.gz</v>
      </c>
      <c r="L5" s="11" t="str">
        <f t="shared" si="2"/>
        <v>/broad/macosko/mkim/SynapseSeq/240215_Goofy/fastqs/240213_A22JGCMLT3_NovaSeqX/D702_S2_L002_R2_001.fastq.gz</v>
      </c>
      <c r="M5" s="11" t="str">
        <f t="shared" si="3"/>
        <v>/broad/chen_imaging/Slide-seq/Barcodes/Puck_230612_14</v>
      </c>
    </row>
    <row r="6" spans="1:13" ht="19" x14ac:dyDescent="0.2">
      <c r="A6" s="7" t="s">
        <v>42</v>
      </c>
      <c r="B6" s="12" t="s">
        <v>26</v>
      </c>
      <c r="C6" s="8" t="s">
        <v>43</v>
      </c>
      <c r="D6" t="s">
        <v>22</v>
      </c>
      <c r="E6" t="s">
        <v>48</v>
      </c>
      <c r="F6" t="s">
        <v>45</v>
      </c>
      <c r="G6" s="18" t="s">
        <v>64</v>
      </c>
      <c r="H6" s="10">
        <v>5</v>
      </c>
      <c r="I6" s="10">
        <v>5</v>
      </c>
      <c r="J6" s="11" t="str">
        <f t="shared" si="0"/>
        <v>/broad/macosko/mkim/SynapseSeq/240215_Goofy/slide/dialout/STR_05</v>
      </c>
      <c r="K6" s="11" t="str">
        <f t="shared" si="1"/>
        <v>/broad/macosko/mkim/SynapseSeq/240215_Goofy/fastqs/240213_A22JGCMLT3_NovaSeqX/D703_S3_L001_R1_001.fastq.gz</v>
      </c>
      <c r="L6" s="11" t="str">
        <f t="shared" si="2"/>
        <v>/broad/macosko/mkim/SynapseSeq/240215_Goofy/fastqs/240213_A22JGCMLT3_NovaSeqX/D703_S3_L001_R2_001.fastq.gz</v>
      </c>
      <c r="M6" s="11" t="str">
        <f t="shared" si="3"/>
        <v>/broad/chen_imaging/Slide-seq/Barcodes/Puck_230612_15</v>
      </c>
    </row>
    <row r="7" spans="1:13" ht="19" x14ac:dyDescent="0.2">
      <c r="A7" s="7" t="s">
        <v>42</v>
      </c>
      <c r="B7" s="12" t="s">
        <v>27</v>
      </c>
      <c r="C7" s="8" t="s">
        <v>43</v>
      </c>
      <c r="D7" t="s">
        <v>18</v>
      </c>
      <c r="E7" t="s">
        <v>49</v>
      </c>
      <c r="F7" s="17" t="s">
        <v>47</v>
      </c>
      <c r="G7" s="18" t="s">
        <v>65</v>
      </c>
      <c r="H7" s="10">
        <v>5</v>
      </c>
      <c r="I7" s="10">
        <v>5</v>
      </c>
      <c r="J7" s="11" t="str">
        <f t="shared" si="0"/>
        <v>/broad/macosko/mkim/SynapseSeq/240215_Goofy/slide/dialout/STR_06</v>
      </c>
      <c r="K7" s="11" t="str">
        <f t="shared" si="1"/>
        <v>/broad/macosko/mkim/SynapseSeq/240215_Goofy/fastqs/240213_A22JGCMLT3_NovaSeqX/D704_S4_L002_R1_001.fastq.gz</v>
      </c>
      <c r="L7" s="11" t="str">
        <f t="shared" si="2"/>
        <v>/broad/macosko/mkim/SynapseSeq/240215_Goofy/fastqs/240213_A22JGCMLT3_NovaSeqX/D704_S4_L002_R2_001.fastq.gz</v>
      </c>
      <c r="M7" s="11" t="str">
        <f t="shared" si="3"/>
        <v>/broad/chen_imaging/Slide-seq/Barcodes/Puck_230612_16</v>
      </c>
    </row>
    <row r="8" spans="1:13" ht="19" x14ac:dyDescent="0.2">
      <c r="A8" s="7" t="s">
        <v>42</v>
      </c>
      <c r="B8" s="12" t="s">
        <v>28</v>
      </c>
      <c r="C8" s="8" t="s">
        <v>43</v>
      </c>
      <c r="D8" t="s">
        <v>19</v>
      </c>
      <c r="E8" t="s">
        <v>50</v>
      </c>
      <c r="F8" t="s">
        <v>45</v>
      </c>
      <c r="G8" s="18" t="s">
        <v>66</v>
      </c>
      <c r="H8" s="10">
        <v>5</v>
      </c>
      <c r="I8" s="10">
        <v>5</v>
      </c>
      <c r="J8" s="11" t="str">
        <f t="shared" si="0"/>
        <v>/broad/macosko/mkim/SynapseSeq/240215_Goofy/slide/dialout/STR_07</v>
      </c>
      <c r="K8" s="11" t="str">
        <f t="shared" si="1"/>
        <v>/broad/macosko/mkim/SynapseSeq/240215_Goofy/fastqs/240213_A22JGCMLT3_NovaSeqX/D705_S5_L001_R1_001.fastq.gz</v>
      </c>
      <c r="L8" s="11" t="str">
        <f t="shared" si="2"/>
        <v>/broad/macosko/mkim/SynapseSeq/240215_Goofy/fastqs/240213_A22JGCMLT3_NovaSeqX/D705_S5_L001_R2_001.fastq.gz</v>
      </c>
      <c r="M8" s="11" t="str">
        <f t="shared" si="3"/>
        <v>/broad/chen_imaging/Slide-seq/Barcodes/Puck_230612_17</v>
      </c>
    </row>
    <row r="9" spans="1:13" ht="19" x14ac:dyDescent="0.2">
      <c r="A9" s="7" t="s">
        <v>42</v>
      </c>
      <c r="B9" s="12" t="s">
        <v>29</v>
      </c>
      <c r="C9" s="8" t="s">
        <v>43</v>
      </c>
      <c r="D9" t="s">
        <v>20</v>
      </c>
      <c r="E9" t="s">
        <v>51</v>
      </c>
      <c r="F9" s="17" t="s">
        <v>47</v>
      </c>
      <c r="G9" s="18" t="s">
        <v>67</v>
      </c>
      <c r="H9" s="10">
        <v>5</v>
      </c>
      <c r="I9" s="10">
        <v>5</v>
      </c>
      <c r="J9" s="11" t="str">
        <f t="shared" si="0"/>
        <v>/broad/macosko/mkim/SynapseSeq/240215_Goofy/slide/dialout/STR_08</v>
      </c>
      <c r="K9" s="11" t="str">
        <f t="shared" si="1"/>
        <v>/broad/macosko/mkim/SynapseSeq/240215_Goofy/fastqs/240213_A22JGCMLT3_NovaSeqX/D706_S6_L002_R1_001.fastq.gz</v>
      </c>
      <c r="L9" s="11" t="str">
        <f t="shared" si="2"/>
        <v>/broad/macosko/mkim/SynapseSeq/240215_Goofy/fastqs/240213_A22JGCMLT3_NovaSeqX/D706_S6_L002_R2_001.fastq.gz</v>
      </c>
      <c r="M9" s="11" t="str">
        <f t="shared" si="3"/>
        <v>/broad/chen_imaging/Slide-seq/Barcodes/Puck_230612_18</v>
      </c>
    </row>
    <row r="10" spans="1:13" ht="19" x14ac:dyDescent="0.2">
      <c r="A10" s="7" t="s">
        <v>42</v>
      </c>
      <c r="B10" s="12" t="s">
        <v>30</v>
      </c>
      <c r="C10" s="8" t="s">
        <v>43</v>
      </c>
      <c r="D10" t="s">
        <v>13</v>
      </c>
      <c r="E10" t="s">
        <v>52</v>
      </c>
      <c r="F10" t="s">
        <v>45</v>
      </c>
      <c r="G10" s="18" t="s">
        <v>68</v>
      </c>
      <c r="H10" s="10">
        <v>5</v>
      </c>
      <c r="I10" s="10">
        <v>5</v>
      </c>
      <c r="J10" s="11" t="str">
        <f t="shared" si="0"/>
        <v>/broad/macosko/mkim/SynapseSeq/240215_Goofy/slide/dialout/STR_09</v>
      </c>
      <c r="K10" s="11" t="str">
        <f t="shared" si="1"/>
        <v>/broad/macosko/mkim/SynapseSeq/240215_Goofy/fastqs/240213_A22JGCMLT3_NovaSeqX/D707_S7_L001_R1_001.fastq.gz</v>
      </c>
      <c r="L10" s="11" t="str">
        <f t="shared" si="2"/>
        <v>/broad/macosko/mkim/SynapseSeq/240215_Goofy/fastqs/240213_A22JGCMLT3_NovaSeqX/D707_S7_L001_R2_001.fastq.gz</v>
      </c>
      <c r="M10" s="11" t="str">
        <f t="shared" si="3"/>
        <v>/broad/chen_imaging/Slide-seq/Barcodes/Puck_230612_19</v>
      </c>
    </row>
    <row r="11" spans="1:13" ht="19" x14ac:dyDescent="0.2">
      <c r="A11" s="7" t="s">
        <v>42</v>
      </c>
      <c r="B11" s="12" t="s">
        <v>31</v>
      </c>
      <c r="C11" s="8" t="s">
        <v>43</v>
      </c>
      <c r="D11" t="s">
        <v>14</v>
      </c>
      <c r="E11" t="s">
        <v>53</v>
      </c>
      <c r="F11" s="17" t="s">
        <v>47</v>
      </c>
      <c r="G11" s="18" t="s">
        <v>69</v>
      </c>
      <c r="H11" s="10">
        <v>5</v>
      </c>
      <c r="I11" s="10">
        <v>5</v>
      </c>
      <c r="J11" s="11" t="str">
        <f t="shared" si="0"/>
        <v>/broad/macosko/mkim/SynapseSeq/240215_Goofy/slide/dialout/STR_10</v>
      </c>
      <c r="K11" s="11" t="str">
        <f t="shared" si="1"/>
        <v>/broad/macosko/mkim/SynapseSeq/240215_Goofy/fastqs/240213_A22JGCMLT3_NovaSeqX/D708_S8_L002_R1_001.fastq.gz</v>
      </c>
      <c r="L11" s="11" t="str">
        <f t="shared" si="2"/>
        <v>/broad/macosko/mkim/SynapseSeq/240215_Goofy/fastqs/240213_A22JGCMLT3_NovaSeqX/D708_S8_L002_R2_001.fastq.gz</v>
      </c>
      <c r="M11" s="11" t="str">
        <f t="shared" si="3"/>
        <v>/broad/chen_imaging/Slide-seq/Barcodes/Puck_230612_20</v>
      </c>
    </row>
    <row r="12" spans="1:13" ht="19" x14ac:dyDescent="0.2">
      <c r="A12" s="7" t="s">
        <v>42</v>
      </c>
      <c r="B12" s="12" t="s">
        <v>32</v>
      </c>
      <c r="C12" s="8" t="s">
        <v>43</v>
      </c>
      <c r="D12" t="s">
        <v>15</v>
      </c>
      <c r="E12" t="s">
        <v>54</v>
      </c>
      <c r="F12" t="s">
        <v>45</v>
      </c>
      <c r="G12" s="18" t="s">
        <v>70</v>
      </c>
      <c r="H12" s="10">
        <v>5</v>
      </c>
      <c r="I12" s="10">
        <v>5</v>
      </c>
      <c r="J12" s="11" t="str">
        <f t="shared" si="0"/>
        <v>/broad/macosko/mkim/SynapseSeq/240215_Goofy/slide/dialout/STR_11</v>
      </c>
      <c r="K12" s="11" t="str">
        <f t="shared" si="1"/>
        <v>/broad/macosko/mkim/SynapseSeq/240215_Goofy/fastqs/240213_A22JGCMLT3_NovaSeqX/D709_S9_L001_R1_001.fastq.gz</v>
      </c>
      <c r="L12" s="11" t="str">
        <f t="shared" si="2"/>
        <v>/broad/macosko/mkim/SynapseSeq/240215_Goofy/fastqs/240213_A22JGCMLT3_NovaSeqX/D709_S9_L001_R2_001.fastq.gz</v>
      </c>
      <c r="M12" s="11" t="str">
        <f t="shared" si="3"/>
        <v>/broad/chen_imaging/Slide-seq/Barcodes/Puck_230612_21</v>
      </c>
    </row>
    <row r="13" spans="1:13" ht="19" x14ac:dyDescent="0.2">
      <c r="A13" s="7" t="s">
        <v>42</v>
      </c>
      <c r="B13" t="s">
        <v>33</v>
      </c>
      <c r="C13" s="8" t="s">
        <v>43</v>
      </c>
      <c r="D13" t="s">
        <v>17</v>
      </c>
      <c r="E13" t="s">
        <v>44</v>
      </c>
      <c r="F13" t="s">
        <v>55</v>
      </c>
      <c r="G13" s="18" t="s">
        <v>60</v>
      </c>
      <c r="H13" s="10">
        <v>5</v>
      </c>
      <c r="I13" s="10">
        <v>5</v>
      </c>
      <c r="J13" s="11" t="str">
        <f t="shared" si="0"/>
        <v>/broad/macosko/mkim/SynapseSeq/240215_Goofy/slide/dialout/STR_15</v>
      </c>
      <c r="K13" s="11" t="str">
        <f t="shared" si="1"/>
        <v>/broad/macosko/mkim/SynapseSeq/240215_Goofy/fastqs/240213_A22JGCMLT3_NovaSeqX/D701_S1_L003_R1_001.fastq.gz</v>
      </c>
      <c r="L13" s="11" t="str">
        <f t="shared" si="2"/>
        <v>/broad/macosko/mkim/SynapseSeq/240215_Goofy/fastqs/240213_A22JGCMLT3_NovaSeqX/D701_S1_L003_R2_001.fastq.gz</v>
      </c>
      <c r="M13" s="11" t="str">
        <f t="shared" si="3"/>
        <v>/broad/chen_imaging/Slide-seq/Barcodes/Puck_230612_27</v>
      </c>
    </row>
    <row r="14" spans="1:13" ht="19" x14ac:dyDescent="0.2">
      <c r="A14" s="7" t="s">
        <v>42</v>
      </c>
      <c r="B14" t="s">
        <v>34</v>
      </c>
      <c r="C14" s="8" t="s">
        <v>43</v>
      </c>
      <c r="D14" t="s">
        <v>21</v>
      </c>
      <c r="E14" t="s">
        <v>46</v>
      </c>
      <c r="F14" t="s">
        <v>55</v>
      </c>
      <c r="G14" s="18" t="s">
        <v>61</v>
      </c>
      <c r="H14" s="10">
        <v>5</v>
      </c>
      <c r="I14" s="10">
        <v>5</v>
      </c>
      <c r="J14" s="11" t="str">
        <f t="shared" si="0"/>
        <v>/broad/macosko/mkim/SynapseSeq/240215_Goofy/slide/dialout/STR_16</v>
      </c>
      <c r="K14" s="11" t="str">
        <f t="shared" si="1"/>
        <v>/broad/macosko/mkim/SynapseSeq/240215_Goofy/fastqs/240213_A22JGCMLT3_NovaSeqX/D702_S2_L003_R1_001.fastq.gz</v>
      </c>
      <c r="L14" s="11" t="str">
        <f t="shared" si="2"/>
        <v>/broad/macosko/mkim/SynapseSeq/240215_Goofy/fastqs/240213_A22JGCMLT3_NovaSeqX/D702_S2_L003_R2_001.fastq.gz</v>
      </c>
      <c r="M14" s="11" t="str">
        <f t="shared" si="3"/>
        <v>/broad/chen_imaging/Slide-seq/Barcodes/Puck_230612_28</v>
      </c>
    </row>
    <row r="15" spans="1:13" ht="19" x14ac:dyDescent="0.2">
      <c r="A15" s="7" t="s">
        <v>42</v>
      </c>
      <c r="B15" t="s">
        <v>35</v>
      </c>
      <c r="C15" s="8" t="s">
        <v>43</v>
      </c>
      <c r="D15" t="s">
        <v>22</v>
      </c>
      <c r="E15" t="s">
        <v>48</v>
      </c>
      <c r="F15" t="s">
        <v>47</v>
      </c>
      <c r="G15" s="18" t="s">
        <v>58</v>
      </c>
      <c r="H15" s="10">
        <v>5</v>
      </c>
      <c r="I15" s="10">
        <v>5</v>
      </c>
      <c r="J15" s="11" t="str">
        <f t="shared" si="0"/>
        <v>/broad/macosko/mkim/SynapseSeq/240215_Goofy/slide/dialout/STR_17</v>
      </c>
      <c r="K15" s="11" t="str">
        <f t="shared" si="1"/>
        <v>/broad/macosko/mkim/SynapseSeq/240215_Goofy/fastqs/240213_A22JGCMLT3_NovaSeqX/D703_S3_L002_R1_001.fastq.gz</v>
      </c>
      <c r="L15" s="11" t="str">
        <f t="shared" si="2"/>
        <v>/broad/macosko/mkim/SynapseSeq/240215_Goofy/fastqs/240213_A22JGCMLT3_NovaSeqX/D703_S3_L002_R2_001.fastq.gz</v>
      </c>
      <c r="M15" s="11" t="str">
        <f t="shared" si="3"/>
        <v>/broad/chen_imaging/Slide-seq/Barcodes/Puck_231201_19</v>
      </c>
    </row>
    <row r="16" spans="1:13" ht="19" x14ac:dyDescent="0.2">
      <c r="A16" s="7" t="s">
        <v>42</v>
      </c>
      <c r="B16" t="s">
        <v>36</v>
      </c>
      <c r="C16" s="8" t="s">
        <v>43</v>
      </c>
      <c r="D16" t="s">
        <v>18</v>
      </c>
      <c r="E16" t="s">
        <v>49</v>
      </c>
      <c r="F16" t="s">
        <v>55</v>
      </c>
      <c r="G16" s="18" t="s">
        <v>59</v>
      </c>
      <c r="H16" s="10">
        <v>5</v>
      </c>
      <c r="I16" s="10">
        <v>5</v>
      </c>
      <c r="J16" s="11" t="str">
        <f t="shared" si="0"/>
        <v>/broad/macosko/mkim/SynapseSeq/240215_Goofy/slide/dialout/STR_18</v>
      </c>
      <c r="K16" s="11" t="str">
        <f t="shared" si="1"/>
        <v>/broad/macosko/mkim/SynapseSeq/240215_Goofy/fastqs/240213_A22JGCMLT3_NovaSeqX/D704_S4_L003_R1_001.fastq.gz</v>
      </c>
      <c r="L16" s="11" t="str">
        <f t="shared" si="2"/>
        <v>/broad/macosko/mkim/SynapseSeq/240215_Goofy/fastqs/240213_A22JGCMLT3_NovaSeqX/D704_S4_L003_R2_001.fastq.gz</v>
      </c>
      <c r="M16" s="11" t="str">
        <f t="shared" si="3"/>
        <v>/broad/chen_imaging/Slide-seq/Barcodes/Puck_231201_20</v>
      </c>
    </row>
    <row r="21" spans="7:7" x14ac:dyDescent="0.2">
      <c r="G21" s="15"/>
    </row>
    <row r="28" spans="7:7" x14ac:dyDescent="0.2">
      <c r="G28" s="1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D472-ADCA-254F-AAED-1D798AAFAA54}">
  <dimension ref="E6:E11"/>
  <sheetViews>
    <sheetView workbookViewId="0">
      <selection activeCell="G24" sqref="G24"/>
    </sheetView>
  </sheetViews>
  <sheetFormatPr baseColWidth="10" defaultRowHeight="16" x14ac:dyDescent="0.2"/>
  <sheetData>
    <row r="6" spans="5:5" x14ac:dyDescent="0.2">
      <c r="E6" t="s">
        <v>37</v>
      </c>
    </row>
    <row r="7" spans="5:5" x14ac:dyDescent="0.2">
      <c r="E7" t="s">
        <v>38</v>
      </c>
    </row>
    <row r="8" spans="5:5" x14ac:dyDescent="0.2">
      <c r="E8" s="16" t="s">
        <v>39</v>
      </c>
    </row>
    <row r="9" spans="5:5" x14ac:dyDescent="0.2">
      <c r="E9" s="16" t="s">
        <v>41</v>
      </c>
    </row>
    <row r="10" spans="5:5" x14ac:dyDescent="0.2">
      <c r="E10" s="16" t="s">
        <v>40</v>
      </c>
    </row>
    <row r="11" spans="5:5" x14ac:dyDescent="0.2">
      <c r="E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231221_batch_synapseseq_slidese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Michael Kim</cp:lastModifiedBy>
  <dcterms:created xsi:type="dcterms:W3CDTF">2023-07-03T13:24:01Z</dcterms:created>
  <dcterms:modified xsi:type="dcterms:W3CDTF">2024-02-16T21:42:31Z</dcterms:modified>
</cp:coreProperties>
</file>