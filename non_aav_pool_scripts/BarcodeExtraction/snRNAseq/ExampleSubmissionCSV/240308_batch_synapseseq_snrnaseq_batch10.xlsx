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broad_macosko/mkim/SynapseSeq/240215_Goofy/snrna/dialout/"/>
    </mc:Choice>
  </mc:AlternateContent>
  <xr:revisionPtr revIDLastSave="0" documentId="13_ncr:1_{794ACE65-C860-094D-B949-C6F300012C1B}" xr6:coauthVersionLast="47" xr6:coauthVersionMax="47" xr10:uidLastSave="{00000000-0000-0000-0000-000000000000}"/>
  <bookViews>
    <workbookView xWindow="4760" yWindow="500" windowWidth="28840" windowHeight="15080" activeTab="1" xr2:uid="{CCAFDB2A-982B-A94C-BCCB-B80A744CD567}"/>
  </bookViews>
  <sheets>
    <sheet name="231221_batch_synapseseq_snrnase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L2" i="1"/>
  <c r="L3" i="1"/>
  <c r="L4" i="1"/>
  <c r="L5" i="1"/>
  <c r="K2" i="1"/>
  <c r="K3" i="1"/>
  <c r="K4" i="1"/>
  <c r="K5" i="1"/>
  <c r="H2" i="1"/>
  <c r="H3" i="1"/>
  <c r="H4" i="1"/>
  <c r="H5" i="1"/>
</calcChain>
</file>

<file path=xl/sharedStrings.xml><?xml version="1.0" encoding="utf-8"?>
<sst xmlns="http://schemas.openxmlformats.org/spreadsheetml/2006/main" count="47" uniqueCount="38">
  <si>
    <t>output_dir</t>
  </si>
  <si>
    <t>read1_path</t>
  </si>
  <si>
    <t>read2_path</t>
  </si>
  <si>
    <t>tag_mm</t>
  </si>
  <si>
    <t>constant_mm</t>
  </si>
  <si>
    <t>output_base</t>
  </si>
  <si>
    <t>sample_name</t>
  </si>
  <si>
    <t>fastq_base</t>
  </si>
  <si>
    <t>index</t>
  </si>
  <si>
    <t>sample</t>
  </si>
  <si>
    <t>lane</t>
  </si>
  <si>
    <t>run_merge</t>
  </si>
  <si>
    <t>merge_path</t>
  </si>
  <si>
    <t>D711</t>
  </si>
  <si>
    <t>ssh mkim@login</t>
  </si>
  <si>
    <t>tmux</t>
  </si>
  <si>
    <t>/broad/software/scripts/ish -P macosko_lab -l h_vmem=75g -l h_rt=30:0:0</t>
  </si>
  <si>
    <t>use Anaconda3</t>
  </si>
  <si>
    <t>conda activate synapse-slideseq</t>
  </si>
  <si>
    <t>True</t>
  </si>
  <si>
    <t>/broad/macosko/mkim/SynapseSeq/240215_Goofy/snrna/dialout</t>
  </si>
  <si>
    <t>S11</t>
  </si>
  <si>
    <t>L007</t>
  </si>
  <si>
    <t>Goofy_H2</t>
  </si>
  <si>
    <t>Goofy_I2</t>
  </si>
  <si>
    <t>Goofy_J2</t>
  </si>
  <si>
    <t>Goofy_L2</t>
  </si>
  <si>
    <t>D704</t>
  </si>
  <si>
    <t>D706</t>
  </si>
  <si>
    <t>D708</t>
  </si>
  <si>
    <t>S4</t>
  </si>
  <si>
    <t>S6</t>
  </si>
  <si>
    <t>S8</t>
  </si>
  <si>
    <t>L001</t>
  </si>
  <si>
    <t>/broad/macosko/mkim/SynapseSeq/240215_Goofy/fastqs/240301_A22HV5GLT3_NovaSeqX</t>
  </si>
  <si>
    <t>L008</t>
  </si>
  <si>
    <t>L005</t>
  </si>
  <si>
    <t>python /broad/macosko/mkim/Scripts/230726_batchRun_SynapseSeq_10x.py /broad/macosko/mkim/SynapseSeq/240215_Goofy/snrna/dialout/240308_batch_synapseseq_snrnaseq_batch10.csv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</si>
</sst>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Menlo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5" borderId="1" xfId="0" applyFont="1" applyFill="1" applyBorder="1"/>
    <xf numFmtId="0" fontId="1" fillId="7" borderId="1" xfId="0" applyFont="1" applyFill="1" applyBorder="1"/>
    <xf numFmtId="0" fontId="1" fillId="9" borderId="1" xfId="0" applyFont="1" applyFill="1" applyBorder="1"/>
    <xf numFmtId="0" fontId="1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0" fillId="6" borderId="1" xfId="0" applyFill="1" applyBorder="1"/>
    <xf numFmtId="0" fontId="0" fillId="8" borderId="1" xfId="0" applyFill="1" applyBorder="1"/>
    <xf numFmtId="0" fontId="0" fillId="2" borderId="1" xfId="0" applyFill="1" applyBorder="1"/>
    <xf numFmtId="49" fontId="1" fillId="7" borderId="1" xfId="0" applyNumberFormat="1" applyFont="1" applyFill="1" applyBorder="1"/>
    <xf numFmtId="49" fontId="0" fillId="6" borderId="1" xfId="0" applyNumberForma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9DBFF"/>
      <color rgb="FFAA6FDC"/>
      <color rgb="FFC783FF"/>
      <color rgb="FFE0B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FC68D-2BF1-2744-9CD5-BFDB287AD83A}">
  <dimension ref="A1:M5"/>
  <sheetViews>
    <sheetView workbookViewId="0">
      <selection activeCell="A10" sqref="A10"/>
    </sheetView>
  </sheetViews>
  <sheetFormatPr baseColWidth="10" defaultRowHeight="16" x14ac:dyDescent="0.2"/>
  <cols>
    <col min="1" max="1" width="76.6640625" style="6" customWidth="1"/>
    <col min="2" max="2" width="21.6640625" style="6" customWidth="1"/>
    <col min="3" max="3" width="73.6640625" style="7" customWidth="1"/>
    <col min="4" max="4" width="12.83203125" style="7" customWidth="1"/>
    <col min="5" max="5" width="13.1640625" style="7" customWidth="1"/>
    <col min="6" max="7" width="13.5" style="11" customWidth="1"/>
    <col min="8" max="8" width="70.1640625" style="11" customWidth="1"/>
    <col min="9" max="9" width="14.5" style="8" customWidth="1"/>
    <col min="10" max="10" width="15.1640625" style="8" customWidth="1"/>
    <col min="11" max="11" width="85.83203125" style="9" customWidth="1"/>
    <col min="12" max="12" width="109.83203125" style="9" customWidth="1"/>
    <col min="13" max="13" width="105.1640625" style="9" customWidth="1"/>
    <col min="14" max="16384" width="10.83203125" style="5"/>
  </cols>
  <sheetData>
    <row r="1" spans="1:13" x14ac:dyDescent="0.2">
      <c r="A1" s="1" t="s">
        <v>5</v>
      </c>
      <c r="B1" s="1" t="s">
        <v>6</v>
      </c>
      <c r="C1" s="2" t="s">
        <v>7</v>
      </c>
      <c r="D1" s="2" t="s">
        <v>8</v>
      </c>
      <c r="E1" s="2" t="s">
        <v>9</v>
      </c>
      <c r="F1" s="10" t="s">
        <v>10</v>
      </c>
      <c r="G1" s="10" t="s">
        <v>11</v>
      </c>
      <c r="H1" s="10" t="s">
        <v>12</v>
      </c>
      <c r="I1" s="3" t="s">
        <v>3</v>
      </c>
      <c r="J1" s="3" t="s">
        <v>4</v>
      </c>
      <c r="K1" s="4" t="s">
        <v>0</v>
      </c>
      <c r="L1" s="4" t="s">
        <v>1</v>
      </c>
      <c r="M1" s="4" t="s">
        <v>2</v>
      </c>
    </row>
    <row r="2" spans="1:13" x14ac:dyDescent="0.2">
      <c r="A2" s="6" t="s">
        <v>20</v>
      </c>
      <c r="B2" s="6" t="s">
        <v>23</v>
      </c>
      <c r="C2" s="7" t="s">
        <v>34</v>
      </c>
      <c r="D2" t="s">
        <v>27</v>
      </c>
      <c r="E2" t="s">
        <v>30</v>
      </c>
      <c r="F2" t="s">
        <v>36</v>
      </c>
      <c r="G2" s="11" t="s">
        <v>19</v>
      </c>
      <c r="H2" s="7" t="str">
        <f t="shared" ref="H2:H5" si="0">_xlfn.CONCAT("/broad/macosko/mkim/SynapseSeq/230630_Mickey/snrna/",B2,"/merged.fastq.gz")</f>
        <v>/broad/macosko/mkim/SynapseSeq/230630_Mickey/snrna/Goofy_H2/merged.fastq.gz</v>
      </c>
      <c r="I2" s="8">
        <v>5</v>
      </c>
      <c r="J2" s="8">
        <v>5</v>
      </c>
      <c r="K2" s="9" t="str">
        <f t="shared" ref="K2:K5" si="1">_xlfn.CONCAT(A2,"/",B2)</f>
        <v>/broad/macosko/mkim/SynapseSeq/240215_Goofy/snrna/dialout/Goofy_H2</v>
      </c>
      <c r="L2" s="9" t="str">
        <f t="shared" ref="L2:L5" si="2">_xlfn.CONCAT(C2,"/",D2,"_",E2,"_",F2,"_R1_001.fastq.gz")</f>
        <v>/broad/macosko/mkim/SynapseSeq/240215_Goofy/fastqs/240301_A22HV5GLT3_NovaSeqX/D704_S4_L005_R1_001.fastq.gz</v>
      </c>
      <c r="M2" s="9" t="str">
        <f t="shared" ref="M2:M5" si="3">_xlfn.CONCAT(C2,"/",D2,"_",E2,"_",F2,"_R2_001.fastq.gz")</f>
        <v>/broad/macosko/mkim/SynapseSeq/240215_Goofy/fastqs/240301_A22HV5GLT3_NovaSeqX/D704_S4_L005_R2_001.fastq.gz</v>
      </c>
    </row>
    <row r="3" spans="1:13" x14ac:dyDescent="0.2">
      <c r="A3" s="6" t="s">
        <v>20</v>
      </c>
      <c r="B3" s="6" t="s">
        <v>24</v>
      </c>
      <c r="C3" s="7" t="s">
        <v>34</v>
      </c>
      <c r="D3" t="s">
        <v>28</v>
      </c>
      <c r="E3" t="s">
        <v>31</v>
      </c>
      <c r="F3" t="s">
        <v>35</v>
      </c>
      <c r="G3" s="11" t="s">
        <v>19</v>
      </c>
      <c r="H3" s="7" t="str">
        <f t="shared" si="0"/>
        <v>/broad/macosko/mkim/SynapseSeq/230630_Mickey/snrna/Goofy_I2/merged.fastq.gz</v>
      </c>
      <c r="I3" s="8">
        <v>5</v>
      </c>
      <c r="J3" s="8">
        <v>5</v>
      </c>
      <c r="K3" s="9" t="str">
        <f t="shared" si="1"/>
        <v>/broad/macosko/mkim/SynapseSeq/240215_Goofy/snrna/dialout/Goofy_I2</v>
      </c>
      <c r="L3" s="9" t="str">
        <f t="shared" si="2"/>
        <v>/broad/macosko/mkim/SynapseSeq/240215_Goofy/fastqs/240301_A22HV5GLT3_NovaSeqX/D706_S6_L008_R1_001.fastq.gz</v>
      </c>
      <c r="M3" s="9" t="str">
        <f t="shared" si="3"/>
        <v>/broad/macosko/mkim/SynapseSeq/240215_Goofy/fastqs/240301_A22HV5GLT3_NovaSeqX/D706_S6_L008_R2_001.fastq.gz</v>
      </c>
    </row>
    <row r="4" spans="1:13" x14ac:dyDescent="0.2">
      <c r="A4" s="6" t="s">
        <v>20</v>
      </c>
      <c r="B4" s="6" t="s">
        <v>25</v>
      </c>
      <c r="C4" s="7" t="s">
        <v>34</v>
      </c>
      <c r="D4" t="s">
        <v>29</v>
      </c>
      <c r="E4" t="s">
        <v>32</v>
      </c>
      <c r="F4" t="s">
        <v>22</v>
      </c>
      <c r="G4" s="11" t="s">
        <v>19</v>
      </c>
      <c r="H4" s="7" t="str">
        <f t="shared" si="0"/>
        <v>/broad/macosko/mkim/SynapseSeq/230630_Mickey/snrna/Goofy_J2/merged.fastq.gz</v>
      </c>
      <c r="I4" s="8">
        <v>5</v>
      </c>
      <c r="J4" s="8">
        <v>5</v>
      </c>
      <c r="K4" s="9" t="str">
        <f t="shared" si="1"/>
        <v>/broad/macosko/mkim/SynapseSeq/240215_Goofy/snrna/dialout/Goofy_J2</v>
      </c>
      <c r="L4" s="9" t="str">
        <f t="shared" si="2"/>
        <v>/broad/macosko/mkim/SynapseSeq/240215_Goofy/fastqs/240301_A22HV5GLT3_NovaSeqX/D708_S8_L007_R1_001.fastq.gz</v>
      </c>
      <c r="M4" s="9" t="str">
        <f t="shared" si="3"/>
        <v>/broad/macosko/mkim/SynapseSeq/240215_Goofy/fastqs/240301_A22HV5GLT3_NovaSeqX/D708_S8_L007_R2_001.fastq.gz</v>
      </c>
    </row>
    <row r="5" spans="1:13" x14ac:dyDescent="0.2">
      <c r="A5" s="6" t="s">
        <v>20</v>
      </c>
      <c r="B5" s="6" t="s">
        <v>26</v>
      </c>
      <c r="C5" s="7" t="s">
        <v>34</v>
      </c>
      <c r="D5" t="s">
        <v>13</v>
      </c>
      <c r="E5" t="s">
        <v>21</v>
      </c>
      <c r="F5" t="s">
        <v>33</v>
      </c>
      <c r="G5" s="11" t="s">
        <v>19</v>
      </c>
      <c r="H5" s="7" t="str">
        <f t="shared" si="0"/>
        <v>/broad/macosko/mkim/SynapseSeq/230630_Mickey/snrna/Goofy_L2/merged.fastq.gz</v>
      </c>
      <c r="I5" s="8">
        <v>5</v>
      </c>
      <c r="J5" s="8">
        <v>5</v>
      </c>
      <c r="K5" s="9" t="str">
        <f t="shared" si="1"/>
        <v>/broad/macosko/mkim/SynapseSeq/240215_Goofy/snrna/dialout/Goofy_L2</v>
      </c>
      <c r="L5" s="9" t="str">
        <f t="shared" si="2"/>
        <v>/broad/macosko/mkim/SynapseSeq/240215_Goofy/fastqs/240301_A22HV5GLT3_NovaSeqX/D711_S11_L001_R1_001.fastq.gz</v>
      </c>
      <c r="M5" s="9" t="str">
        <f t="shared" si="3"/>
        <v>/broad/macosko/mkim/SynapseSeq/240215_Goofy/fastqs/240301_A22HV5GLT3_NovaSeqX/D711_S11_L001_R2_001.fastq.gz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055A-53B8-A341-83F8-D9723575A751}">
  <dimension ref="E6:E11"/>
  <sheetViews>
    <sheetView tabSelected="1" workbookViewId="0">
      <selection activeCell="L20" sqref="L20"/>
    </sheetView>
  </sheetViews>
  <sheetFormatPr baseColWidth="10" defaultRowHeight="16" x14ac:dyDescent="0.2"/>
  <sheetData>
    <row r="6" spans="5:5" x14ac:dyDescent="0.2">
      <c r="E6" t="s">
        <v>14</v>
      </c>
    </row>
    <row r="7" spans="5:5" x14ac:dyDescent="0.2">
      <c r="E7" t="s">
        <v>15</v>
      </c>
    </row>
    <row r="8" spans="5:5" x14ac:dyDescent="0.2">
      <c r="E8" s="12" t="s">
        <v>16</v>
      </c>
    </row>
    <row r="9" spans="5:5" x14ac:dyDescent="0.2">
      <c r="E9" s="12" t="s">
        <v>17</v>
      </c>
    </row>
    <row r="10" spans="5:5" x14ac:dyDescent="0.2">
      <c r="E10" s="12" t="s">
        <v>18</v>
      </c>
    </row>
    <row r="11" spans="5:5" x14ac:dyDescent="0.2">
      <c r="E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231221_batch_synapseseq_snrnase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Michael Kim</cp:lastModifiedBy>
  <dcterms:created xsi:type="dcterms:W3CDTF">2023-07-03T13:24:01Z</dcterms:created>
  <dcterms:modified xsi:type="dcterms:W3CDTF">2024-03-11T12:08:55Z</dcterms:modified>
</cp:coreProperties>
</file>